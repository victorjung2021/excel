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defaultThemeVersion="166925"/>
  <mc:AlternateContent xmlns:mc="http://schemas.openxmlformats.org/markup-compatibility/2006">
    <mc:Choice Requires="x15">
      <x15ac:absPath xmlns:x15ac="http://schemas.microsoft.com/office/spreadsheetml/2010/11/ac" url="H:\내 드라이브\원본\01-03.외고_금평원\컴활&amp;문서작성\샘플파일\"/>
    </mc:Choice>
  </mc:AlternateContent>
  <xr:revisionPtr revIDLastSave="0" documentId="13_ncr:1_{00AF692E-EF29-4EFA-A72D-5D35A01B0C77}" xr6:coauthVersionLast="47" xr6:coauthVersionMax="47" xr10:uidLastSave="{00000000-0000-0000-0000-000000000000}"/>
  <bookViews>
    <workbookView xWindow="-108" yWindow="-108" windowWidth="23256" windowHeight="12456" activeTab="4" xr2:uid="{00000000-000D-0000-FFFF-FFFF00000000}"/>
  </bookViews>
  <sheets>
    <sheet name="VISICALC" sheetId="20" r:id="rId1"/>
    <sheet name="기본함수" sheetId="4" r:id="rId2"/>
    <sheet name="FILENAME" sheetId="26" r:id="rId3"/>
    <sheet name="날짜" sheetId="5" r:id="rId4"/>
    <sheet name="성적" sheetId="6" r:id="rId5"/>
    <sheet name="IF" sheetId="10" r:id="rId6"/>
    <sheet name="피벗" sheetId="12" r:id="rId7"/>
    <sheet name="회식비" sheetId="11" r:id="rId8"/>
    <sheet name="VLOOKUP" sheetId="3" r:id="rId9"/>
    <sheet name="HLOOKUP" sheetId="2" r:id="rId10"/>
    <sheet name="정보보호" sheetId="19" r:id="rId11"/>
    <sheet name="절대참조" sheetId="1" r:id="rId12"/>
    <sheet name="고급필터" sheetId="17" r:id="rId13"/>
    <sheet name="프로시져" sheetId="18" r:id="rId14"/>
    <sheet name="배열함수와VBA" sheetId="21" r:id="rId15"/>
    <sheet name="조건부서식" sheetId="22" r:id="rId16"/>
    <sheet name="감독시간표" sheetId="24" r:id="rId17"/>
    <sheet name="감독 순번" sheetId="25" r:id="rId18"/>
  </sheets>
  <externalReferences>
    <externalReference r:id="rId19"/>
  </externalReferences>
  <definedNames>
    <definedName name="_xlnm._FilterDatabase" localSheetId="12" hidden="1">고급필터!$B$6:$E$6</definedName>
    <definedName name="_xlnm._FilterDatabase" localSheetId="7" hidden="1">회식비!$A$2:$M$24</definedName>
    <definedName name="_xlnm.Criteria" localSheetId="12">고급필터!$G$6:$G$7</definedName>
    <definedName name="_xlnm.Criteria" localSheetId="7">회식비!#REF!</definedName>
    <definedName name="_xlnm.Extract" localSheetId="12">고급필터!$G$9:$I$9</definedName>
    <definedName name="_xlnm.Extract" localSheetId="7">회식비!#REF!</definedName>
    <definedName name="가격기준">#REF!</definedName>
    <definedName name="가격테이블">HLOOKUP!$A$2:$I$4</definedName>
    <definedName name="계절변수">VLOOKUP!$I$5</definedName>
    <definedName name="기준테이블">VLOOKUP!$A$6:$E$10</definedName>
    <definedName name="기준테이블1">VLOOKUP!$A$5:$E$13</definedName>
    <definedName name="메뉴가격">회식비!$I$14:$J$22</definedName>
    <definedName name="미화환율">#REF!</definedName>
    <definedName name="카페가격테이블">HLOOKUP!$K$8:$P$10</definedName>
    <definedName name="팀분류">회식비!$I$3:$J$11</definedName>
    <definedName name="환율표">#REF!</definedName>
  </definedNames>
  <calcPr calcId="191029"/>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1" l="1"/>
  <c r="C10" i="1"/>
  <c r="C11" i="1"/>
  <c r="C12" i="1"/>
  <c r="C13" i="1"/>
  <c r="C14" i="1"/>
  <c r="C8" i="1"/>
  <c r="C2" i="26" a="1"/>
  <c r="C2" i="26" s="1"/>
  <c r="C1" i="26" a="1"/>
  <c r="C1" i="26" s="1"/>
  <c r="Q3" i="4" a="1"/>
  <c r="Q3" i="4" s="1"/>
  <c r="Q2" i="4" a="1"/>
  <c r="Q2" i="4" s="1"/>
  <c r="K59" i="25"/>
  <c r="J59" i="25"/>
  <c r="I59" i="25"/>
  <c r="H59" i="25"/>
  <c r="F58" i="25"/>
  <c r="G58" i="25" s="1"/>
  <c r="E58" i="25"/>
  <c r="D58" i="25"/>
  <c r="C58" i="25"/>
  <c r="F57" i="25"/>
  <c r="E57" i="25"/>
  <c r="D57" i="25"/>
  <c r="G57" i="25" s="1"/>
  <c r="C57" i="25"/>
  <c r="F56" i="25"/>
  <c r="E56" i="25"/>
  <c r="D56" i="25"/>
  <c r="G56" i="25" s="1"/>
  <c r="C56" i="25"/>
  <c r="G55" i="25"/>
  <c r="F55" i="25"/>
  <c r="E55" i="25"/>
  <c r="D55" i="25"/>
  <c r="C55" i="25"/>
  <c r="F54" i="25"/>
  <c r="E54" i="25"/>
  <c r="D54" i="25"/>
  <c r="G54" i="25" s="1"/>
  <c r="C54" i="25"/>
  <c r="F53" i="25"/>
  <c r="E53" i="25"/>
  <c r="D53" i="25"/>
  <c r="G53" i="25" s="1"/>
  <c r="C53" i="25"/>
  <c r="F52" i="25"/>
  <c r="E52" i="25"/>
  <c r="D52" i="25"/>
  <c r="C52" i="25"/>
  <c r="F51" i="25"/>
  <c r="E51" i="25"/>
  <c r="D51" i="25"/>
  <c r="C51" i="25"/>
  <c r="F50" i="25"/>
  <c r="E50" i="25"/>
  <c r="D50" i="25"/>
  <c r="G50" i="25" s="1"/>
  <c r="C50" i="25"/>
  <c r="F49" i="25"/>
  <c r="E49" i="25"/>
  <c r="D49" i="25"/>
  <c r="G49" i="25" s="1"/>
  <c r="C49" i="25"/>
  <c r="F48" i="25"/>
  <c r="E48" i="25"/>
  <c r="D48" i="25"/>
  <c r="G48" i="25" s="1"/>
  <c r="C48" i="25"/>
  <c r="F47" i="25"/>
  <c r="E47" i="25"/>
  <c r="D47" i="25"/>
  <c r="G47" i="25" s="1"/>
  <c r="C47" i="25"/>
  <c r="F46" i="25"/>
  <c r="G46" i="25" s="1"/>
  <c r="E46" i="25"/>
  <c r="D46" i="25"/>
  <c r="C46" i="25"/>
  <c r="F45" i="25"/>
  <c r="E45" i="25"/>
  <c r="D45" i="25"/>
  <c r="G45" i="25" s="1"/>
  <c r="C45" i="25"/>
  <c r="F44" i="25"/>
  <c r="E44" i="25"/>
  <c r="D44" i="25"/>
  <c r="G44" i="25" s="1"/>
  <c r="C44" i="25"/>
  <c r="F43" i="25"/>
  <c r="E43" i="25"/>
  <c r="D43" i="25"/>
  <c r="C43" i="25"/>
  <c r="F42" i="25"/>
  <c r="E42" i="25"/>
  <c r="D42" i="25"/>
  <c r="G42" i="25" s="1"/>
  <c r="C42" i="25"/>
  <c r="G41" i="25"/>
  <c r="F41" i="25"/>
  <c r="E41" i="25"/>
  <c r="D41" i="25"/>
  <c r="C41" i="25"/>
  <c r="F40" i="25"/>
  <c r="E40" i="25"/>
  <c r="D40" i="25"/>
  <c r="G40" i="25" s="1"/>
  <c r="C40" i="25"/>
  <c r="F39" i="25"/>
  <c r="E39" i="25"/>
  <c r="G39" i="25" s="1"/>
  <c r="D39" i="25"/>
  <c r="C39" i="25"/>
  <c r="F38" i="25"/>
  <c r="E38" i="25"/>
  <c r="D38" i="25"/>
  <c r="G38" i="25" s="1"/>
  <c r="C38" i="25"/>
  <c r="F37" i="25"/>
  <c r="E37" i="25"/>
  <c r="D37" i="25"/>
  <c r="G37" i="25" s="1"/>
  <c r="C37" i="25"/>
  <c r="F36" i="25"/>
  <c r="E36" i="25"/>
  <c r="D36" i="25"/>
  <c r="G36" i="25" s="1"/>
  <c r="C36" i="25"/>
  <c r="F35" i="25"/>
  <c r="E35" i="25"/>
  <c r="D35" i="25"/>
  <c r="G35" i="25" s="1"/>
  <c r="C35" i="25"/>
  <c r="F34" i="25"/>
  <c r="E34" i="25"/>
  <c r="D34" i="25"/>
  <c r="C34" i="25"/>
  <c r="F33" i="25"/>
  <c r="E33" i="25"/>
  <c r="D33" i="25"/>
  <c r="G33" i="25" s="1"/>
  <c r="C33" i="25"/>
  <c r="F32" i="25"/>
  <c r="E32" i="25"/>
  <c r="D32" i="25"/>
  <c r="G32" i="25" s="1"/>
  <c r="C32" i="25"/>
  <c r="F31" i="25"/>
  <c r="E31" i="25"/>
  <c r="D31" i="25"/>
  <c r="C31" i="25"/>
  <c r="F30" i="25"/>
  <c r="E30" i="25"/>
  <c r="D30" i="25"/>
  <c r="G30" i="25" s="1"/>
  <c r="C30" i="25"/>
  <c r="G29" i="25"/>
  <c r="F29" i="25"/>
  <c r="E29" i="25"/>
  <c r="D29" i="25"/>
  <c r="C29" i="25"/>
  <c r="F28" i="25"/>
  <c r="E28" i="25"/>
  <c r="D28" i="25"/>
  <c r="G28" i="25" s="1"/>
  <c r="C28" i="25"/>
  <c r="F27" i="25"/>
  <c r="E27" i="25"/>
  <c r="D27" i="25"/>
  <c r="C27" i="25"/>
  <c r="F26" i="25"/>
  <c r="E26" i="25"/>
  <c r="D26" i="25"/>
  <c r="G26" i="25" s="1"/>
  <c r="C26" i="25"/>
  <c r="F25" i="25"/>
  <c r="E25" i="25"/>
  <c r="D25" i="25"/>
  <c r="G25" i="25" s="1"/>
  <c r="C25" i="25"/>
  <c r="F24" i="25"/>
  <c r="E24" i="25"/>
  <c r="D24" i="25"/>
  <c r="G24" i="25" s="1"/>
  <c r="C24" i="25"/>
  <c r="F23" i="25"/>
  <c r="E23" i="25"/>
  <c r="D23" i="25"/>
  <c r="G23" i="25" s="1"/>
  <c r="C23" i="25"/>
  <c r="F22" i="25"/>
  <c r="E22" i="25"/>
  <c r="D22" i="25"/>
  <c r="C22" i="25"/>
  <c r="F21" i="25"/>
  <c r="E21" i="25"/>
  <c r="D21" i="25"/>
  <c r="G21" i="25" s="1"/>
  <c r="C21" i="25"/>
  <c r="F20" i="25"/>
  <c r="E20" i="25"/>
  <c r="D20" i="25"/>
  <c r="G20" i="25" s="1"/>
  <c r="C20" i="25"/>
  <c r="F19" i="25"/>
  <c r="E19" i="25"/>
  <c r="D19" i="25"/>
  <c r="C19" i="25"/>
  <c r="F18" i="25"/>
  <c r="E18" i="25"/>
  <c r="D18" i="25"/>
  <c r="G18" i="25" s="1"/>
  <c r="C18" i="25"/>
  <c r="F17" i="25"/>
  <c r="E17" i="25"/>
  <c r="D17" i="25"/>
  <c r="G17" i="25" s="1"/>
  <c r="C17" i="25"/>
  <c r="F16" i="25"/>
  <c r="E16" i="25"/>
  <c r="D16" i="25"/>
  <c r="G16" i="25" s="1"/>
  <c r="C16" i="25"/>
  <c r="F15" i="25"/>
  <c r="E15" i="25"/>
  <c r="D15" i="25"/>
  <c r="C15" i="25"/>
  <c r="F14" i="25"/>
  <c r="G14" i="25" s="1"/>
  <c r="E14" i="25"/>
  <c r="D14" i="25"/>
  <c r="C14" i="25"/>
  <c r="F13" i="25"/>
  <c r="E13" i="25"/>
  <c r="D13" i="25"/>
  <c r="G13" i="25" s="1"/>
  <c r="C13" i="25"/>
  <c r="F12" i="25"/>
  <c r="E12" i="25"/>
  <c r="D12" i="25"/>
  <c r="G12" i="25" s="1"/>
  <c r="C12" i="25"/>
  <c r="F11" i="25"/>
  <c r="E11" i="25"/>
  <c r="D11" i="25"/>
  <c r="G11" i="25" s="1"/>
  <c r="C11" i="25"/>
  <c r="F10" i="25"/>
  <c r="E10" i="25"/>
  <c r="D10" i="25"/>
  <c r="C10" i="25"/>
  <c r="F9" i="25"/>
  <c r="E9" i="25"/>
  <c r="D9" i="25"/>
  <c r="C9" i="25"/>
  <c r="F8" i="25"/>
  <c r="E8" i="25"/>
  <c r="D8" i="25"/>
  <c r="G8" i="25" s="1"/>
  <c r="C8" i="25"/>
  <c r="F7" i="25"/>
  <c r="E7" i="25"/>
  <c r="D7" i="25"/>
  <c r="G7" i="25" s="1"/>
  <c r="C7" i="25"/>
  <c r="F6" i="25"/>
  <c r="E6" i="25"/>
  <c r="D6" i="25"/>
  <c r="G6" i="25" s="1"/>
  <c r="C6" i="25"/>
  <c r="F5" i="25"/>
  <c r="F59" i="25" s="1"/>
  <c r="E5" i="25"/>
  <c r="E59" i="25" s="1"/>
  <c r="D5" i="25"/>
  <c r="D59" i="25" s="1"/>
  <c r="C5" i="25"/>
  <c r="Z61" i="24"/>
  <c r="T61" i="24"/>
  <c r="O61" i="24"/>
  <c r="K61" i="24"/>
  <c r="G61" i="24"/>
  <c r="Z60" i="24"/>
  <c r="T60" i="24"/>
  <c r="O60" i="24"/>
  <c r="K60" i="24"/>
  <c r="G60" i="24"/>
  <c r="Z59" i="24"/>
  <c r="T59" i="24"/>
  <c r="O59" i="24"/>
  <c r="K59" i="24"/>
  <c r="G59" i="24"/>
  <c r="Z58" i="24"/>
  <c r="T58" i="24"/>
  <c r="O58" i="24"/>
  <c r="K58" i="24"/>
  <c r="G58" i="24"/>
  <c r="Z57" i="24"/>
  <c r="T57" i="24"/>
  <c r="O57" i="24"/>
  <c r="K57" i="24"/>
  <c r="G57" i="24"/>
  <c r="Z56" i="24"/>
  <c r="T56" i="24"/>
  <c r="O56" i="24"/>
  <c r="K56" i="24"/>
  <c r="G56" i="24"/>
  <c r="AD55" i="24"/>
  <c r="Z55" i="24"/>
  <c r="T55" i="24"/>
  <c r="O55" i="24"/>
  <c r="K55" i="24"/>
  <c r="G55" i="24"/>
  <c r="AD54" i="24"/>
  <c r="Z54" i="24"/>
  <c r="T54" i="24"/>
  <c r="O54" i="24"/>
  <c r="K54" i="24"/>
  <c r="G54" i="24"/>
  <c r="AD53" i="24"/>
  <c r="Z53" i="24"/>
  <c r="T53" i="24"/>
  <c r="O53" i="24"/>
  <c r="K53" i="24"/>
  <c r="G53" i="24"/>
  <c r="AD52" i="24"/>
  <c r="Z52" i="24"/>
  <c r="T52" i="24"/>
  <c r="O52" i="24"/>
  <c r="K52" i="24"/>
  <c r="G52" i="24"/>
  <c r="D45" i="24"/>
  <c r="D42" i="24"/>
  <c r="D39" i="24"/>
  <c r="D36" i="24"/>
  <c r="D33" i="24"/>
  <c r="D30" i="24"/>
  <c r="D27" i="24"/>
  <c r="D24" i="24"/>
  <c r="D21" i="24"/>
  <c r="D18" i="24"/>
  <c r="D15" i="24"/>
  <c r="D12" i="24"/>
  <c r="D9" i="24"/>
  <c r="C15" i="1" l="1"/>
  <c r="G22" i="25"/>
  <c r="G10" i="25"/>
  <c r="G34" i="25"/>
  <c r="G19" i="25"/>
  <c r="G15" i="25"/>
  <c r="G27" i="25"/>
  <c r="G52" i="25"/>
  <c r="G5" i="25"/>
  <c r="G59" i="25" s="1"/>
  <c r="G9" i="25"/>
  <c r="G31" i="25"/>
  <c r="G43" i="25"/>
  <c r="G51" i="25"/>
  <c r="E9" i="18" l="1" a="1"/>
  <c r="E9" i="18" l="1"/>
  <c r="L21" i="21" a="1"/>
  <c r="L21" i="21" s="1"/>
  <c r="N8" i="21" a="1"/>
  <c r="N8" i="21" s="1"/>
  <c r="M8" i="3"/>
  <c r="M9" i="3"/>
  <c r="M10" i="3"/>
  <c r="M11" i="3"/>
  <c r="M12" i="3"/>
  <c r="F23" i="11" l="1"/>
  <c r="D6" i="5"/>
  <c r="D7" i="5"/>
  <c r="D8" i="5"/>
  <c r="G17" i="12"/>
  <c r="G16" i="12"/>
  <c r="E23" i="11"/>
  <c r="M7" i="11" l="1"/>
  <c r="G6" i="12"/>
  <c r="G15" i="12"/>
  <c r="G20" i="12"/>
  <c r="G13" i="12"/>
  <c r="G11" i="12"/>
  <c r="G18" i="12"/>
  <c r="G8" i="12"/>
  <c r="G9" i="12"/>
  <c r="G12" i="12"/>
  <c r="G5" i="12"/>
  <c r="G10" i="12"/>
  <c r="G14" i="12"/>
  <c r="G19" i="12"/>
  <c r="G7" i="12"/>
  <c r="E4" i="10"/>
  <c r="E5" i="10"/>
  <c r="E6" i="10"/>
  <c r="E7" i="10"/>
  <c r="E8" i="10"/>
  <c r="E9" i="10"/>
  <c r="E10" i="10"/>
  <c r="E11" i="10"/>
  <c r="E12" i="10"/>
  <c r="E13" i="10"/>
  <c r="E14" i="10"/>
  <c r="E15" i="10"/>
  <c r="E16" i="10"/>
  <c r="E17" i="10"/>
  <c r="E18" i="10"/>
  <c r="E19" i="10"/>
  <c r="E3"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D5" i="10"/>
  <c r="D6" i="10"/>
  <c r="D7" i="10"/>
  <c r="D8" i="10"/>
  <c r="D9" i="10"/>
  <c r="D10" i="10"/>
  <c r="D11" i="10"/>
  <c r="D12" i="10"/>
  <c r="D13" i="10"/>
  <c r="D14" i="10"/>
  <c r="D15" i="10"/>
  <c r="D16" i="10"/>
  <c r="D17" i="10"/>
  <c r="D18" i="10"/>
  <c r="D19" i="10"/>
  <c r="D20" i="10"/>
  <c r="D4" i="10"/>
  <c r="D3" i="10"/>
  <c r="J4" i="10"/>
  <c r="J5" i="10"/>
  <c r="J6" i="10"/>
  <c r="J7" i="10"/>
  <c r="J8" i="10"/>
  <c r="J9" i="10"/>
  <c r="J10" i="10"/>
  <c r="J11" i="10"/>
  <c r="J12" i="10"/>
  <c r="J13" i="10"/>
  <c r="J14" i="10"/>
  <c r="J15" i="10"/>
  <c r="J16" i="10"/>
  <c r="J17" i="10"/>
  <c r="J18" i="10"/>
  <c r="J19" i="10"/>
  <c r="J20" i="10"/>
  <c r="J21" i="10"/>
  <c r="J22" i="10"/>
  <c r="J23" i="10"/>
  <c r="J24" i="10"/>
  <c r="J25" i="10"/>
  <c r="J26" i="10"/>
  <c r="J27" i="10"/>
  <c r="J3" i="10"/>
  <c r="N5" i="10"/>
  <c r="N6" i="10"/>
  <c r="N7" i="10"/>
  <c r="N8" i="10"/>
  <c r="N9" i="10"/>
  <c r="N10" i="10"/>
  <c r="N11" i="10"/>
  <c r="N12" i="10"/>
  <c r="N13" i="10"/>
  <c r="N14" i="10"/>
  <c r="N15" i="10"/>
  <c r="N16" i="10"/>
  <c r="N17" i="10"/>
  <c r="N18" i="10"/>
  <c r="N19" i="10"/>
  <c r="N20" i="10"/>
  <c r="N21" i="10"/>
  <c r="N22" i="10"/>
  <c r="N23" i="10"/>
  <c r="N24" i="10"/>
  <c r="N25" i="10"/>
  <c r="N26" i="10"/>
  <c r="N27" i="10"/>
  <c r="N28" i="10"/>
  <c r="N29" i="10"/>
  <c r="N4" i="10"/>
  <c r="M7" i="3"/>
  <c r="AA7" i="5"/>
  <c r="AA8" i="5"/>
  <c r="AA9" i="5"/>
  <c r="AA10" i="5"/>
  <c r="AA11" i="5"/>
  <c r="AA12" i="5"/>
  <c r="AA13" i="5"/>
  <c r="AA14" i="5"/>
  <c r="AA15" i="5"/>
  <c r="AA16" i="5"/>
  <c r="AA17" i="5"/>
  <c r="AA6" i="5"/>
  <c r="E4" i="5"/>
  <c r="E3" i="5"/>
  <c r="D9" i="5"/>
  <c r="D10" i="5"/>
  <c r="D11" i="5"/>
  <c r="D12" i="5"/>
  <c r="L5" i="12" l="1" a="1"/>
  <c r="L5" i="12" s="1"/>
  <c r="K5" i="12" a="1"/>
  <c r="K5" i="12" s="1"/>
  <c r="K14" i="12" a="1"/>
  <c r="K14" i="12" s="1"/>
  <c r="M5" i="12" a="1"/>
  <c r="M5" i="12" s="1"/>
  <c r="L12" i="12" a="1"/>
  <c r="L12" i="12" s="1"/>
  <c r="K12" i="12" a="1"/>
  <c r="K12" i="12" s="1"/>
  <c r="L6" i="12" a="1"/>
  <c r="L6" i="12" s="1"/>
  <c r="M12" i="12" a="1"/>
  <c r="M12" i="12" s="1"/>
  <c r="K13" i="12" a="1"/>
  <c r="K13" i="12" s="1"/>
  <c r="M6" i="12" a="1"/>
  <c r="M6" i="12" s="1"/>
  <c r="L13" i="12" a="1"/>
  <c r="L13" i="12" s="1"/>
  <c r="K7" i="12" a="1"/>
  <c r="K7" i="12" s="1"/>
  <c r="L7" i="12" a="1"/>
  <c r="L7" i="12" s="1"/>
  <c r="M13" i="12" a="1"/>
  <c r="M13" i="12" s="1"/>
  <c r="M7" i="12" a="1"/>
  <c r="M7" i="12" s="1"/>
  <c r="L14" i="12" a="1"/>
  <c r="L14" i="12" s="1"/>
  <c r="K6" i="12" a="1"/>
  <c r="K6" i="12" s="1"/>
  <c r="M14" i="12" a="1"/>
  <c r="M14" i="12" s="1"/>
  <c r="M13" i="3"/>
  <c r="N6" i="2"/>
  <c r="N5" i="2" l="1"/>
  <c r="N7" i="2"/>
  <c r="N9" i="2"/>
  <c r="N8" i="2" l="1"/>
  <c r="N1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tc={95295C2B-D3C2-411F-9879-5433408C0ADA}</author>
    <author>tc={554C55B7-3BE7-40D1-AAD3-C4F3E8B0BF4D}</author>
  </authors>
  <commentList>
    <comment ref="G1" authorId="0" shapeId="0" xr:uid="{95295C2B-D3C2-411F-9879-5433408C0ADA}">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1.셀서식에서 보호-잠금해제
2.검토- 시트보호</t>
        </r>
      </text>
    </comment>
    <comment ref="H1" authorId="1" shapeId="0" xr:uid="{554C55B7-3BE7-40D1-AAD3-C4F3E8B0BF4D}">
      <text>
        <r>
          <rPr>
            <sz val="11"/>
            <color theme="1"/>
            <rFont val="맑은 고딕"/>
            <family val="2"/>
            <charset val="129"/>
            <scheme val="minor"/>
          </rPr>
          <t>[스레드 댓글]
사용 중인 버전의 Excel에서 이 스레드 댓글을 읽을 수 있지만 파일을 이후 버전의 Excel에서 열면 편집 내용이 모두 제거됩니다. 자세한 정보: https://go.microsoft.com/fwlink/?linkid=870924.
댓글:
    1. 셀서식-전체 잠금해제-이 셀만 잠금
2. 검토- 시트보호</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<sst xmlns="http://schemas.openxmlformats.org/spreadsheetml/2006/main" count="6108" uniqueCount="3211">
  <si>
    <t>겨울</t>
    <phoneticPr fontId="1" type="noConversion"/>
  </si>
  <si>
    <t>아메리카노</t>
    <phoneticPr fontId="1" type="noConversion"/>
  </si>
  <si>
    <t>라떼</t>
    <phoneticPr fontId="1" type="noConversion"/>
  </si>
  <si>
    <t>수무디</t>
    <phoneticPr fontId="1" type="noConversion"/>
  </si>
  <si>
    <t>주스</t>
    <phoneticPr fontId="1" type="noConversion"/>
  </si>
  <si>
    <t>수량</t>
    <phoneticPr fontId="1" type="noConversion"/>
  </si>
  <si>
    <t>단가</t>
    <phoneticPr fontId="1" type="noConversion"/>
  </si>
  <si>
    <t>합계</t>
    <phoneticPr fontId="1" type="noConversion"/>
  </si>
  <si>
    <t>여름</t>
    <phoneticPr fontId="1" type="noConversion"/>
  </si>
  <si>
    <t>아메리카노</t>
  </si>
  <si>
    <t>수무디</t>
  </si>
  <si>
    <t>주스</t>
  </si>
  <si>
    <t>라떼</t>
  </si>
  <si>
    <t>달러</t>
    <phoneticPr fontId="1" type="noConversion"/>
  </si>
  <si>
    <t>원화</t>
    <phoneticPr fontId="1" type="noConversion"/>
  </si>
  <si>
    <t>환율</t>
    <phoneticPr fontId="1" type="noConversion"/>
  </si>
  <si>
    <t>U$</t>
    <phoneticPr fontId="1" type="noConversion"/>
  </si>
  <si>
    <t>W$</t>
    <phoneticPr fontId="1" type="noConversion"/>
  </si>
  <si>
    <t>ICE아메리카노</t>
  </si>
  <si>
    <t>ICE아메리카노</t>
    <phoneticPr fontId="1" type="noConversion"/>
  </si>
  <si>
    <t xml:space="preserve"> </t>
    <phoneticPr fontId="1" type="noConversion"/>
  </si>
  <si>
    <t>여름</t>
  </si>
  <si>
    <t>봄</t>
    <phoneticPr fontId="1" type="noConversion"/>
  </si>
  <si>
    <t>가을</t>
    <phoneticPr fontId="1" type="noConversion"/>
  </si>
  <si>
    <t>기본함수</t>
    <phoneticPr fontId="1" type="noConversion"/>
  </si>
  <si>
    <t>SUM</t>
    <phoneticPr fontId="1" type="noConversion"/>
  </si>
  <si>
    <t>AVERAGE</t>
    <phoneticPr fontId="1" type="noConversion"/>
  </si>
  <si>
    <t>MIN</t>
    <phoneticPr fontId="1" type="noConversion"/>
  </si>
  <si>
    <t>MAX</t>
    <phoneticPr fontId="1" type="noConversion"/>
  </si>
  <si>
    <t>COUNT</t>
    <phoneticPr fontId="1" type="noConversion"/>
  </si>
  <si>
    <t>VLOOKUP</t>
    <phoneticPr fontId="1" type="noConversion"/>
  </si>
  <si>
    <t>HLOOKUP</t>
    <phoneticPr fontId="1" type="noConversion"/>
  </si>
  <si>
    <t>IF</t>
    <phoneticPr fontId="1" type="noConversion"/>
  </si>
  <si>
    <t>TODAY</t>
    <phoneticPr fontId="1" type="noConversion"/>
  </si>
  <si>
    <t>COUNTIF</t>
    <phoneticPr fontId="1" type="noConversion"/>
  </si>
  <si>
    <t>MID</t>
    <phoneticPr fontId="1" type="noConversion"/>
  </si>
  <si>
    <t>LEFT</t>
    <phoneticPr fontId="1" type="noConversion"/>
  </si>
  <si>
    <t>RIGHT</t>
    <phoneticPr fontId="1" type="noConversion"/>
  </si>
  <si>
    <t>RANK</t>
    <phoneticPr fontId="1" type="noConversion"/>
  </si>
  <si>
    <t>ROUND</t>
    <phoneticPr fontId="1" type="noConversion"/>
  </si>
  <si>
    <t>INDEX</t>
    <phoneticPr fontId="1" type="noConversion"/>
  </si>
  <si>
    <t>MATCH</t>
    <phoneticPr fontId="1" type="noConversion"/>
  </si>
  <si>
    <t>DSUM</t>
    <phoneticPr fontId="1" type="noConversion"/>
  </si>
  <si>
    <t>DAVERAGE</t>
    <phoneticPr fontId="1" type="noConversion"/>
  </si>
  <si>
    <t>DCOUNT</t>
    <phoneticPr fontId="1" type="noConversion"/>
  </si>
  <si>
    <t>DCOUNTA</t>
    <phoneticPr fontId="1" type="noConversion"/>
  </si>
  <si>
    <t>DATE</t>
    <phoneticPr fontId="1" type="noConversion"/>
  </si>
  <si>
    <t>SUMIF</t>
    <phoneticPr fontId="1" type="noConversion"/>
  </si>
  <si>
    <t>MOD</t>
    <phoneticPr fontId="1" type="noConversion"/>
  </si>
  <si>
    <t xml:space="preserve">AND </t>
    <phoneticPr fontId="1" type="noConversion"/>
  </si>
  <si>
    <t>OR</t>
    <phoneticPr fontId="1" type="noConversion"/>
  </si>
  <si>
    <t>CHOOSE</t>
    <phoneticPr fontId="1" type="noConversion"/>
  </si>
  <si>
    <t>SUMPRODUCT</t>
    <phoneticPr fontId="1" type="noConversion"/>
  </si>
  <si>
    <t>ROUNDUP</t>
    <phoneticPr fontId="1" type="noConversion"/>
  </si>
  <si>
    <t>WEEKDAY</t>
    <phoneticPr fontId="1" type="noConversion"/>
  </si>
  <si>
    <t>YEAR</t>
    <phoneticPr fontId="1" type="noConversion"/>
  </si>
  <si>
    <t>LARGE</t>
    <phoneticPr fontId="1" type="noConversion"/>
  </si>
  <si>
    <t>NOW</t>
    <phoneticPr fontId="1" type="noConversion"/>
  </si>
  <si>
    <t>REPLACE</t>
    <phoneticPr fontId="1" type="noConversion"/>
  </si>
  <si>
    <t>날짜/시간</t>
    <phoneticPr fontId="1" type="noConversion"/>
  </si>
  <si>
    <t>수학</t>
    <phoneticPr fontId="1" type="noConversion"/>
  </si>
  <si>
    <t>통계</t>
    <phoneticPr fontId="1" type="noConversion"/>
  </si>
  <si>
    <t>찾기/참조</t>
    <phoneticPr fontId="1" type="noConversion"/>
  </si>
  <si>
    <t>OFFSET</t>
    <phoneticPr fontId="1" type="noConversion"/>
  </si>
  <si>
    <t>TRANSPOSE</t>
    <phoneticPr fontId="1" type="noConversion"/>
  </si>
  <si>
    <t>DATABASE</t>
    <phoneticPr fontId="1" type="noConversion"/>
  </si>
  <si>
    <t>논리</t>
    <phoneticPr fontId="1" type="noConversion"/>
  </si>
  <si>
    <t>IFERROR</t>
    <phoneticPr fontId="1" type="noConversion"/>
  </si>
  <si>
    <t>COUNTA</t>
    <phoneticPr fontId="1" type="noConversion"/>
  </si>
  <si>
    <t>3학년1반</t>
    <phoneticPr fontId="1" type="noConversion"/>
  </si>
  <si>
    <t>이름</t>
    <phoneticPr fontId="1" type="noConversion"/>
  </si>
  <si>
    <t>국어</t>
    <phoneticPr fontId="1" type="noConversion"/>
  </si>
  <si>
    <t>과학</t>
    <phoneticPr fontId="1" type="noConversion"/>
  </si>
  <si>
    <t>영어</t>
    <phoneticPr fontId="1" type="noConversion"/>
  </si>
  <si>
    <t>국사</t>
    <phoneticPr fontId="1" type="noConversion"/>
  </si>
  <si>
    <t>총점</t>
    <phoneticPr fontId="1" type="noConversion"/>
  </si>
  <si>
    <t>평균</t>
    <phoneticPr fontId="1" type="noConversion"/>
  </si>
  <si>
    <t>석차</t>
    <phoneticPr fontId="1" type="noConversion"/>
  </si>
  <si>
    <t>전정수</t>
    <phoneticPr fontId="1" type="noConversion"/>
  </si>
  <si>
    <t>안가람</t>
    <phoneticPr fontId="1" type="noConversion"/>
  </si>
  <si>
    <t>양홍숙</t>
    <phoneticPr fontId="1" type="noConversion"/>
  </si>
  <si>
    <t>이영미</t>
    <phoneticPr fontId="1" type="noConversion"/>
  </si>
  <si>
    <t>정형준</t>
    <phoneticPr fontId="1" type="noConversion"/>
  </si>
  <si>
    <t>한지선</t>
    <phoneticPr fontId="1" type="noConversion"/>
  </si>
  <si>
    <t>이정호</t>
    <phoneticPr fontId="1" type="noConversion"/>
  </si>
  <si>
    <t>조현진</t>
    <phoneticPr fontId="1" type="noConversion"/>
  </si>
  <si>
    <t>서은미</t>
    <phoneticPr fontId="1" type="noConversion"/>
  </si>
  <si>
    <t>최형담</t>
    <phoneticPr fontId="1" type="noConversion"/>
  </si>
  <si>
    <t>박준산</t>
    <phoneticPr fontId="1" type="noConversion"/>
  </si>
  <si>
    <t>이미숙</t>
    <phoneticPr fontId="1" type="noConversion"/>
  </si>
  <si>
    <t>손준승</t>
    <phoneticPr fontId="1" type="noConversion"/>
  </si>
  <si>
    <t>윤석열</t>
    <phoneticPr fontId="1" type="noConversion"/>
  </si>
  <si>
    <t>이재명</t>
    <phoneticPr fontId="1" type="noConversion"/>
  </si>
  <si>
    <t>품목</t>
    <phoneticPr fontId="1" type="noConversion"/>
  </si>
  <si>
    <t>판매수량</t>
    <phoneticPr fontId="1" type="noConversion"/>
  </si>
  <si>
    <t>판매액(U$)</t>
    <phoneticPr fontId="1" type="noConversion"/>
  </si>
  <si>
    <t>ROUNDDOWN</t>
    <phoneticPr fontId="1" type="noConversion"/>
  </si>
  <si>
    <t>학력</t>
    <phoneticPr fontId="1" type="noConversion"/>
  </si>
  <si>
    <t>매모리</t>
    <phoneticPr fontId="1" type="noConversion"/>
  </si>
  <si>
    <t>CD</t>
    <phoneticPr fontId="1" type="noConversion"/>
  </si>
  <si>
    <t>CPU</t>
    <phoneticPr fontId="1" type="noConversion"/>
  </si>
  <si>
    <t>그래픽카드</t>
    <phoneticPr fontId="1" type="noConversion"/>
  </si>
  <si>
    <t>USB</t>
    <phoneticPr fontId="1" type="noConversion"/>
  </si>
  <si>
    <t>모니터</t>
    <phoneticPr fontId="1" type="noConversion"/>
  </si>
  <si>
    <t>키보드</t>
    <phoneticPr fontId="1" type="noConversion"/>
  </si>
  <si>
    <t>지역</t>
    <phoneticPr fontId="1" type="noConversion"/>
  </si>
  <si>
    <t>전남</t>
    <phoneticPr fontId="1" type="noConversion"/>
  </si>
  <si>
    <t>경북</t>
    <phoneticPr fontId="1" type="noConversion"/>
  </si>
  <si>
    <t>경남</t>
    <phoneticPr fontId="1" type="noConversion"/>
  </si>
  <si>
    <t>제주</t>
    <phoneticPr fontId="1" type="noConversion"/>
  </si>
  <si>
    <t>LA</t>
    <phoneticPr fontId="1" type="noConversion"/>
  </si>
  <si>
    <t>샌디에이고</t>
    <phoneticPr fontId="1" type="noConversion"/>
  </si>
  <si>
    <t>샌프란시스코</t>
    <phoneticPr fontId="1" type="noConversion"/>
  </si>
  <si>
    <t>워싱턴</t>
    <phoneticPr fontId="1" type="noConversion"/>
  </si>
  <si>
    <t>단가(U$)</t>
    <phoneticPr fontId="1" type="noConversion"/>
  </si>
  <si>
    <t>Data</t>
    <phoneticPr fontId="1" type="noConversion"/>
  </si>
  <si>
    <t>기준정보</t>
    <phoneticPr fontId="1" type="noConversion"/>
  </si>
  <si>
    <t>순번</t>
    <phoneticPr fontId="1" type="noConversion"/>
  </si>
  <si>
    <t>소속팀</t>
    <phoneticPr fontId="1" type="noConversion"/>
  </si>
  <si>
    <t>직급</t>
    <phoneticPr fontId="1" type="noConversion"/>
  </si>
  <si>
    <t>메뉴명</t>
    <phoneticPr fontId="1" type="noConversion"/>
  </si>
  <si>
    <t>금액(원)</t>
    <phoneticPr fontId="1" type="noConversion"/>
  </si>
  <si>
    <t>본부</t>
    <phoneticPr fontId="1" type="noConversion"/>
  </si>
  <si>
    <t>팀</t>
    <phoneticPr fontId="1" type="noConversion"/>
  </si>
  <si>
    <t>인사팀</t>
    <phoneticPr fontId="1" type="noConversion"/>
  </si>
  <si>
    <t>공영호</t>
    <phoneticPr fontId="1" type="noConversion"/>
  </si>
  <si>
    <t>부장</t>
    <phoneticPr fontId="1" type="noConversion"/>
  </si>
  <si>
    <t>치킨마요</t>
    <phoneticPr fontId="1" type="noConversion"/>
  </si>
  <si>
    <t>경영지원본부</t>
    <phoneticPr fontId="1" type="noConversion"/>
  </si>
  <si>
    <t>시설구매팀</t>
    <phoneticPr fontId="1" type="noConversion"/>
  </si>
  <si>
    <t>김성수</t>
    <phoneticPr fontId="1" type="noConversion"/>
  </si>
  <si>
    <t>중부사업본부</t>
    <phoneticPr fontId="1" type="noConversion"/>
  </si>
  <si>
    <t>중부영업1팀</t>
    <phoneticPr fontId="1" type="noConversion"/>
  </si>
  <si>
    <t>호남사업본부</t>
    <phoneticPr fontId="1" type="noConversion"/>
  </si>
  <si>
    <t>중부영업2팀</t>
    <phoneticPr fontId="1" type="noConversion"/>
  </si>
  <si>
    <t>박성진</t>
    <phoneticPr fontId="1" type="noConversion"/>
  </si>
  <si>
    <t>영남사업본부</t>
    <phoneticPr fontId="1" type="noConversion"/>
  </si>
  <si>
    <t>중부영업3팀</t>
    <phoneticPr fontId="1" type="noConversion"/>
  </si>
  <si>
    <t>김건우</t>
    <phoneticPr fontId="1" type="noConversion"/>
  </si>
  <si>
    <t>차장</t>
    <phoneticPr fontId="1" type="noConversion"/>
  </si>
  <si>
    <t>호남영업1팀</t>
    <phoneticPr fontId="1" type="noConversion"/>
  </si>
  <si>
    <t>최민서</t>
    <phoneticPr fontId="1" type="noConversion"/>
  </si>
  <si>
    <t>참치마요</t>
    <phoneticPr fontId="1" type="noConversion"/>
  </si>
  <si>
    <t>호남영업2팀</t>
    <phoneticPr fontId="1" type="noConversion"/>
  </si>
  <si>
    <t>김서윤</t>
    <phoneticPr fontId="1" type="noConversion"/>
  </si>
  <si>
    <t>영남영업1팀</t>
    <phoneticPr fontId="1" type="noConversion"/>
  </si>
  <si>
    <t>최준혁</t>
    <phoneticPr fontId="1" type="noConversion"/>
  </si>
  <si>
    <t>영남영업2팀</t>
    <phoneticPr fontId="1" type="noConversion"/>
  </si>
  <si>
    <t>김우진</t>
    <phoneticPr fontId="1" type="noConversion"/>
  </si>
  <si>
    <t>과장</t>
    <phoneticPr fontId="1" type="noConversion"/>
  </si>
  <si>
    <t>돈까스도련님도시락</t>
    <phoneticPr fontId="1" type="noConversion"/>
  </si>
  <si>
    <t>이은경</t>
    <phoneticPr fontId="1" type="noConversion"/>
  </si>
  <si>
    <t>치킨제육도시락</t>
    <phoneticPr fontId="1" type="noConversion"/>
  </si>
  <si>
    <t>김영진</t>
    <phoneticPr fontId="1" type="noConversion"/>
  </si>
  <si>
    <t>단가(원)</t>
    <phoneticPr fontId="1" type="noConversion"/>
  </si>
  <si>
    <t>유병철</t>
    <phoneticPr fontId="1" type="noConversion"/>
  </si>
  <si>
    <t>왕치킨마요</t>
    <phoneticPr fontId="1" type="noConversion"/>
  </si>
  <si>
    <t>이상현</t>
    <phoneticPr fontId="1" type="noConversion"/>
  </si>
  <si>
    <t>대리</t>
    <phoneticPr fontId="1" type="noConversion"/>
  </si>
  <si>
    <t>동백도시락</t>
    <phoneticPr fontId="1" type="noConversion"/>
  </si>
  <si>
    <t>오정훈</t>
    <phoneticPr fontId="1" type="noConversion"/>
  </si>
  <si>
    <t>왕카레돈까스덮밥</t>
    <phoneticPr fontId="1" type="noConversion"/>
  </si>
  <si>
    <t>이지영</t>
    <phoneticPr fontId="1" type="noConversion"/>
  </si>
  <si>
    <t>진달래도시락</t>
    <phoneticPr fontId="1" type="noConversion"/>
  </si>
  <si>
    <t>김도현</t>
    <phoneticPr fontId="1" type="noConversion"/>
  </si>
  <si>
    <t>사원</t>
    <phoneticPr fontId="1" type="noConversion"/>
  </si>
  <si>
    <t>메가고기고기</t>
    <phoneticPr fontId="1" type="noConversion"/>
  </si>
  <si>
    <t>최수빈</t>
    <phoneticPr fontId="1" type="noConversion"/>
  </si>
  <si>
    <t>이진우</t>
    <phoneticPr fontId="1" type="noConversion"/>
  </si>
  <si>
    <t>김정수</t>
    <phoneticPr fontId="1" type="noConversion"/>
  </si>
  <si>
    <t>이예진</t>
    <phoneticPr fontId="1" type="noConversion"/>
  </si>
  <si>
    <t>이춘식</t>
    <phoneticPr fontId="1" type="noConversion"/>
  </si>
  <si>
    <t>김수민</t>
    <phoneticPr fontId="1" type="noConversion"/>
  </si>
  <si>
    <t>조건부서식</t>
    <phoneticPr fontId="1" type="noConversion"/>
  </si>
  <si>
    <t>데이타유효성검사</t>
    <phoneticPr fontId="1" type="noConversion"/>
  </si>
  <si>
    <t>고급필터</t>
    <phoneticPr fontId="1" type="noConversion"/>
  </si>
  <si>
    <t>피벗</t>
    <phoneticPr fontId="1" type="noConversion"/>
  </si>
  <si>
    <t>챠트</t>
    <phoneticPr fontId="1" type="noConversion"/>
  </si>
  <si>
    <t>목표값찾기</t>
    <phoneticPr fontId="1" type="noConversion"/>
  </si>
  <si>
    <t>정렬및 부분합</t>
    <phoneticPr fontId="1" type="noConversion"/>
  </si>
  <si>
    <t>alt+아래화살표</t>
    <phoneticPr fontId="1" type="noConversion"/>
  </si>
  <si>
    <t>상동내용입력</t>
    <phoneticPr fontId="1" type="noConversion"/>
  </si>
  <si>
    <t>tab키로 입력,마지막 enter</t>
    <phoneticPr fontId="1" type="noConversion"/>
  </si>
  <si>
    <t>날짜</t>
    <phoneticPr fontId="1" type="noConversion"/>
  </si>
  <si>
    <t>하이픈,스래쉬</t>
    <phoneticPr fontId="1" type="noConversion"/>
  </si>
  <si>
    <t>현재날짜</t>
    <phoneticPr fontId="1" type="noConversion"/>
  </si>
  <si>
    <t>콘트롤+;</t>
    <phoneticPr fontId="1" type="noConversion"/>
  </si>
  <si>
    <t>현재시간</t>
    <phoneticPr fontId="1" type="noConversion"/>
  </si>
  <si>
    <t>콘트롤+:</t>
    <phoneticPr fontId="1" type="noConversion"/>
  </si>
  <si>
    <t>자동채우기</t>
    <phoneticPr fontId="1" type="noConversion"/>
  </si>
  <si>
    <t>옵션으로 설정</t>
    <phoneticPr fontId="1" type="noConversion"/>
  </si>
  <si>
    <t>사용자지정</t>
    <phoneticPr fontId="1" type="noConversion"/>
  </si>
  <si>
    <t>파일-옵션-고급-일반-</t>
    <phoneticPr fontId="1" type="noConversion"/>
  </si>
  <si>
    <t>빠른채우기</t>
    <phoneticPr fontId="1" type="noConversion"/>
  </si>
  <si>
    <t>시트컨트롤,보호</t>
    <phoneticPr fontId="1" type="noConversion"/>
  </si>
  <si>
    <t>빠른실행도구모음(alt+1,2,3,4)</t>
    <phoneticPr fontId="1" type="noConversion"/>
  </si>
  <si>
    <t>ALTER키 활용</t>
    <phoneticPr fontId="1" type="noConversion"/>
  </si>
  <si>
    <t>그림으로 붙여넣기</t>
    <phoneticPr fontId="1" type="noConversion"/>
  </si>
  <si>
    <t>행열 숨기기</t>
    <phoneticPr fontId="1" type="noConversion"/>
  </si>
  <si>
    <t>데이타입력</t>
    <phoneticPr fontId="1" type="noConversion"/>
  </si>
  <si>
    <t>함수</t>
    <phoneticPr fontId="1" type="noConversion"/>
  </si>
  <si>
    <t>5월말고사</t>
    <phoneticPr fontId="1" type="noConversion"/>
  </si>
  <si>
    <t>배열함수</t>
    <phoneticPr fontId="1" type="noConversion"/>
  </si>
  <si>
    <t>배열함수예제 (IF 포함)</t>
    <phoneticPr fontId="1" type="noConversion"/>
  </si>
  <si>
    <t>배열함수예제 (IF 없이)</t>
    <phoneticPr fontId="1" type="noConversion"/>
  </si>
  <si>
    <t>B-</t>
    <phoneticPr fontId="1" type="noConversion"/>
  </si>
  <si>
    <t>심리학과</t>
  </si>
  <si>
    <t>사회과학대학</t>
  </si>
  <si>
    <t>송자영</t>
    <phoneticPr fontId="1" type="noConversion"/>
  </si>
  <si>
    <t>A</t>
    <phoneticPr fontId="1" type="noConversion"/>
  </si>
  <si>
    <t>사회복지학과</t>
  </si>
  <si>
    <t>민혜선</t>
    <phoneticPr fontId="1" type="noConversion"/>
  </si>
  <si>
    <t>A+</t>
    <phoneticPr fontId="1" type="noConversion"/>
  </si>
  <si>
    <t>소프트웨어공학과</t>
  </si>
  <si>
    <t>공과대학</t>
  </si>
  <si>
    <t>박나래</t>
    <phoneticPr fontId="1" type="noConversion"/>
  </si>
  <si>
    <t>C</t>
    <phoneticPr fontId="1" type="noConversion"/>
  </si>
  <si>
    <t>사회학과</t>
  </si>
  <si>
    <t>조희영</t>
    <phoneticPr fontId="1" type="noConversion"/>
  </si>
  <si>
    <t>B</t>
    <phoneticPr fontId="1" type="noConversion"/>
  </si>
  <si>
    <t>최승원</t>
    <phoneticPr fontId="1" type="noConversion"/>
  </si>
  <si>
    <t>국어교육과</t>
  </si>
  <si>
    <t>사범대학</t>
  </si>
  <si>
    <t>박정재</t>
    <phoneticPr fontId="22" type="noConversion"/>
  </si>
  <si>
    <t>이효진</t>
    <phoneticPr fontId="22" type="noConversion"/>
  </si>
  <si>
    <t>C+</t>
    <phoneticPr fontId="1" type="noConversion"/>
  </si>
  <si>
    <t>컴퓨터공학과</t>
  </si>
  <si>
    <t>지율무</t>
    <phoneticPr fontId="22" type="noConversion"/>
  </si>
  <si>
    <t>A-</t>
    <phoneticPr fontId="1" type="noConversion"/>
  </si>
  <si>
    <t>김써니</t>
    <phoneticPr fontId="22" type="noConversion"/>
  </si>
  <si>
    <t>서유진</t>
    <phoneticPr fontId="22" type="noConversion"/>
  </si>
  <si>
    <t>송혜수</t>
    <phoneticPr fontId="22" type="noConversion"/>
  </si>
  <si>
    <t>이정우</t>
    <phoneticPr fontId="22" type="noConversion"/>
  </si>
  <si>
    <t>김골든</t>
    <phoneticPr fontId="22" type="noConversion"/>
  </si>
  <si>
    <t>B+</t>
    <phoneticPr fontId="1" type="noConversion"/>
  </si>
  <si>
    <t>박헨리</t>
    <phoneticPr fontId="22" type="noConversion"/>
  </si>
  <si>
    <t>김함바</t>
    <phoneticPr fontId="22" type="noConversion"/>
  </si>
  <si>
    <t>학점</t>
    <phoneticPr fontId="1" type="noConversion"/>
  </si>
  <si>
    <t>학과</t>
    <phoneticPr fontId="1" type="noConversion"/>
  </si>
  <si>
    <t>대학</t>
    <phoneticPr fontId="1" type="noConversion"/>
  </si>
  <si>
    <t>이름</t>
  </si>
  <si>
    <t>[표1]</t>
    <phoneticPr fontId="1" type="noConversion"/>
  </si>
  <si>
    <t>결과는 [G9] 부터 입력되도록 설정.</t>
    <phoneticPr fontId="1" type="noConversion"/>
  </si>
  <si>
    <t>조건은 [G6:G7] 영역에 입력.</t>
    <phoneticPr fontId="1" type="noConversion"/>
  </si>
  <si>
    <t>'이름, 학과, 학점' 필드만 결과로 추출하시오. (And, Right, Find 함수 사용)</t>
    <phoneticPr fontId="1" type="noConversion"/>
  </si>
  <si>
    <t>문제. [표1]의 대학 목록 중 "과학대학" 으로 끝나면서, 학과명에 "복지" 단어를  포함하고 있는 데이터의</t>
    <phoneticPr fontId="1" type="noConversion"/>
  </si>
  <si>
    <t>30 이상</t>
  </si>
  <si>
    <t>비만</t>
  </si>
  <si>
    <t>BMI</t>
    <phoneticPr fontId="1" type="noConversion"/>
  </si>
  <si>
    <t>키</t>
    <phoneticPr fontId="1" type="noConversion"/>
  </si>
  <si>
    <t>체중</t>
    <phoneticPr fontId="1" type="noConversion"/>
  </si>
  <si>
    <t>25 - 29</t>
  </si>
  <si>
    <t>20 - 24</t>
  </si>
  <si>
    <t>정상</t>
  </si>
  <si>
    <t>20 미만</t>
  </si>
  <si>
    <t>저체중</t>
  </si>
  <si>
    <t>(select case 사용)</t>
    <phoneticPr fontId="1" type="noConversion"/>
  </si>
  <si>
    <t/>
  </si>
  <si>
    <t>식 : BMI=체중 / ( 키/100) ^ 2</t>
    <phoneticPr fontId="1" type="noConversion"/>
  </si>
  <si>
    <t>문제. [표1] 을 참조하여 BMI를 출력하시오.</t>
    <phoneticPr fontId="1" type="noConversion"/>
  </si>
  <si>
    <t>010-1234-5735</t>
  </si>
  <si>
    <t>010-1234-5736</t>
  </si>
  <si>
    <t>010-1234-5737</t>
  </si>
  <si>
    <t>010-1234-5738</t>
  </si>
  <si>
    <t>010-1234-5739</t>
  </si>
  <si>
    <t>010-1234-5740</t>
  </si>
  <si>
    <t>010-1234-5741</t>
  </si>
  <si>
    <t>010-1234-5742</t>
  </si>
  <si>
    <t>010-1234-5743</t>
  </si>
  <si>
    <t>010-1234-5744</t>
  </si>
  <si>
    <t>010-1234-5745</t>
  </si>
  <si>
    <t>010-1234-5746</t>
  </si>
  <si>
    <t>010-1234-5747</t>
  </si>
  <si>
    <t>010-1234-5748</t>
  </si>
  <si>
    <t>010-1234-5749</t>
  </si>
  <si>
    <t>010-1234-5750</t>
  </si>
  <si>
    <t>010-1234-5751</t>
  </si>
  <si>
    <t>010-1234-5752</t>
  </si>
  <si>
    <t>010-1234-5753</t>
  </si>
  <si>
    <t>010-1234-5754</t>
  </si>
  <si>
    <t>010-1234-5755</t>
  </si>
  <si>
    <t>010-1234-5756</t>
  </si>
  <si>
    <t>010-1234-5757</t>
  </si>
  <si>
    <t>010-1234-5758</t>
  </si>
  <si>
    <t>010-1234-5759</t>
  </si>
  <si>
    <t>010-1234-5760</t>
  </si>
  <si>
    <t>010-1234-5761</t>
  </si>
  <si>
    <t>010-1234-5762</t>
  </si>
  <si>
    <t>010-1234-5763</t>
  </si>
  <si>
    <t>010-1234-5764</t>
  </si>
  <si>
    <t>010-1234-5765</t>
  </si>
  <si>
    <t>010-1234-5766</t>
  </si>
  <si>
    <t>010-1234-5767</t>
  </si>
  <si>
    <t>010-1234-5768</t>
  </si>
  <si>
    <t>010-1234-5769</t>
  </si>
  <si>
    <t>010-1234-5770</t>
  </si>
  <si>
    <t>010-1234-5771</t>
  </si>
  <si>
    <t>010-1234-5772</t>
  </si>
  <si>
    <t>010-1234-5773</t>
  </si>
  <si>
    <t>010-1234-5774</t>
  </si>
  <si>
    <t>010-1234-5775</t>
  </si>
  <si>
    <t>010-1234-5776</t>
  </si>
  <si>
    <t>010-1234-5777</t>
  </si>
  <si>
    <t>010-1234-5778</t>
  </si>
  <si>
    <t>010-1234-5779</t>
  </si>
  <si>
    <t>010-1234-5780</t>
  </si>
  <si>
    <t>010-1234-5781</t>
  </si>
  <si>
    <t>010-1234-5782</t>
  </si>
  <si>
    <t>010-1234-5783</t>
  </si>
  <si>
    <t>010-1234-5784</t>
  </si>
  <si>
    <t>010-1234-5785</t>
  </si>
  <si>
    <t>010-1234-5786</t>
  </si>
  <si>
    <t>010-1234-5787</t>
  </si>
  <si>
    <t>010-1234-5788</t>
  </si>
  <si>
    <t>010-1234-5789</t>
  </si>
  <si>
    <t>010-1234-5790</t>
  </si>
  <si>
    <t>010-1234-5791</t>
  </si>
  <si>
    <t>010-1234-5792</t>
  </si>
  <si>
    <t>010-1234-5793</t>
  </si>
  <si>
    <t>010-1234-5794</t>
  </si>
  <si>
    <t>010-1234-5795</t>
  </si>
  <si>
    <t>010-1234-5796</t>
  </si>
  <si>
    <t>010-1234-5797</t>
  </si>
  <si>
    <t>010-1234-5798</t>
  </si>
  <si>
    <t>010-1234-5799</t>
  </si>
  <si>
    <t>010-1234-5800</t>
  </si>
  <si>
    <t>010-1234-5801</t>
  </si>
  <si>
    <t>010-1234-5802</t>
  </si>
  <si>
    <t>010-1234-5803</t>
  </si>
  <si>
    <t>010-1234-5804</t>
  </si>
  <si>
    <t>010-1234-5805</t>
  </si>
  <si>
    <t>010-1234-5806</t>
  </si>
  <si>
    <t>010-1234-5807</t>
  </si>
  <si>
    <t>010-1234-5808</t>
  </si>
  <si>
    <t>010-1234-5809</t>
  </si>
  <si>
    <t>010-1234-5810</t>
  </si>
  <si>
    <t>010-1234-5811</t>
  </si>
  <si>
    <t>010-1234-5812</t>
  </si>
  <si>
    <t>010-1234-5813</t>
  </si>
  <si>
    <t>010-1234-5814</t>
  </si>
  <si>
    <t>010-1234-5815</t>
  </si>
  <si>
    <t>010-1234-5816</t>
  </si>
  <si>
    <t>010-1234-5817</t>
  </si>
  <si>
    <t>010-1234-5818</t>
  </si>
  <si>
    <t>010-1234-5819</t>
  </si>
  <si>
    <t>010-1234-5820</t>
  </si>
  <si>
    <t>010-1234-5821</t>
  </si>
  <si>
    <t>010-1234-5822</t>
  </si>
  <si>
    <t>010-1234-5823</t>
  </si>
  <si>
    <t>010-1234-5824</t>
  </si>
  <si>
    <t>010-1234-5825</t>
  </si>
  <si>
    <t>010-1234-5826</t>
  </si>
  <si>
    <t>010-1234-5827</t>
  </si>
  <si>
    <t>010-1234-5828</t>
  </si>
  <si>
    <t>010-1234-5829</t>
  </si>
  <si>
    <t>010-1234-5830</t>
  </si>
  <si>
    <t>010-1234-5831</t>
  </si>
  <si>
    <t>010-1234-5832</t>
  </si>
  <si>
    <t>010-1234-5833</t>
  </si>
  <si>
    <t>010-1234-5834</t>
  </si>
  <si>
    <t>010-1234-5835</t>
  </si>
  <si>
    <t>010-1234-5836</t>
  </si>
  <si>
    <t>010-1234-5837</t>
  </si>
  <si>
    <t>010-1234-5838</t>
  </si>
  <si>
    <t>010-1234-5839</t>
  </si>
  <si>
    <t>010-1234-5840</t>
  </si>
  <si>
    <t>010-1234-5841</t>
  </si>
  <si>
    <t>010-1234-5842</t>
  </si>
  <si>
    <t>010-1234-5843</t>
  </si>
  <si>
    <t>010-1234-5844</t>
  </si>
  <si>
    <t>010-1234-5845</t>
  </si>
  <si>
    <t>010-1234-5846</t>
  </si>
  <si>
    <t>010-1234-5847</t>
  </si>
  <si>
    <t>010-1234-5848</t>
  </si>
  <si>
    <t>010-1234-5849</t>
  </si>
  <si>
    <t>010-1234-5850</t>
  </si>
  <si>
    <t>010-1234-5851</t>
  </si>
  <si>
    <t>010-1234-5852</t>
  </si>
  <si>
    <t>010-1234-5853</t>
  </si>
  <si>
    <t>010-1234-5854</t>
  </si>
  <si>
    <t>010-1234-5855</t>
  </si>
  <si>
    <t>010-1234-5856</t>
  </si>
  <si>
    <t>010-1234-5857</t>
  </si>
  <si>
    <t>010-1234-5858</t>
  </si>
  <si>
    <t>010-1234-5859</t>
  </si>
  <si>
    <t>010-1234-5860</t>
  </si>
  <si>
    <t>010-1234-5861</t>
  </si>
  <si>
    <t>010-1234-5862</t>
  </si>
  <si>
    <t>010-1234-5863</t>
  </si>
  <si>
    <t>010-1234-5864</t>
  </si>
  <si>
    <t>010-1234-5865</t>
  </si>
  <si>
    <t>010-1234-5866</t>
  </si>
  <si>
    <t>010-1234-5867</t>
  </si>
  <si>
    <t>010-1234-5868</t>
  </si>
  <si>
    <t>010-1234-5869</t>
  </si>
  <si>
    <t>010-1234-5870</t>
  </si>
  <si>
    <t>010-1234-5871</t>
  </si>
  <si>
    <t>010-1234-5872</t>
  </si>
  <si>
    <t>010-1234-5873</t>
  </si>
  <si>
    <t>010-1234-5874</t>
  </si>
  <si>
    <t>010-1234-5875</t>
  </si>
  <si>
    <t>010-1234-5876</t>
  </si>
  <si>
    <t>010-1234-5877</t>
  </si>
  <si>
    <t>010-1234-5878</t>
  </si>
  <si>
    <t>010-1234-5879</t>
  </si>
  <si>
    <t>010-1234-5880</t>
  </si>
  <si>
    <t>010-1234-5881</t>
  </si>
  <si>
    <t>010-1234-5882</t>
  </si>
  <si>
    <t>010-1234-5883</t>
  </si>
  <si>
    <t>010-1234-5884</t>
  </si>
  <si>
    <t>010-1234-5885</t>
  </si>
  <si>
    <t>010-1234-5886</t>
  </si>
  <si>
    <t>010-1234-5887</t>
  </si>
  <si>
    <t>010-1234-5888</t>
  </si>
  <si>
    <t>010-1234-5889</t>
  </si>
  <si>
    <t>010-1234-5890</t>
  </si>
  <si>
    <t>010-1234-5891</t>
  </si>
  <si>
    <t>010-1234-5892</t>
  </si>
  <si>
    <t>010-1234-5893</t>
  </si>
  <si>
    <t>010-1234-5894</t>
  </si>
  <si>
    <t>010-1234-5895</t>
  </si>
  <si>
    <t>010-1234-5896</t>
  </si>
  <si>
    <t>010-1234-5897</t>
  </si>
  <si>
    <t>010-1234-5898</t>
  </si>
  <si>
    <t>010-1234-5899</t>
  </si>
  <si>
    <t>010-1234-5900</t>
  </si>
  <si>
    <t>010-1234-5901</t>
  </si>
  <si>
    <t>010-1234-5902</t>
  </si>
  <si>
    <t>010-1234-5903</t>
  </si>
  <si>
    <t>010-1234-5904</t>
  </si>
  <si>
    <t>010-1234-5905</t>
  </si>
  <si>
    <t>010-1234-5906</t>
  </si>
  <si>
    <t>010-1234-5907</t>
  </si>
  <si>
    <t>010-1234-5908</t>
  </si>
  <si>
    <t>010-1234-5909</t>
  </si>
  <si>
    <t>010-1234-5910</t>
  </si>
  <si>
    <t>010-1234-5911</t>
  </si>
  <si>
    <t>010-1234-5912</t>
  </si>
  <si>
    <t>010-1234-5913</t>
  </si>
  <si>
    <t>010-1234-5914</t>
  </si>
  <si>
    <t>010-1234-5915</t>
  </si>
  <si>
    <t>010-1234-5916</t>
  </si>
  <si>
    <t>010-1234-5917</t>
  </si>
  <si>
    <t>010-1234-5918</t>
  </si>
  <si>
    <t>010-1234-5919</t>
  </si>
  <si>
    <t>010-1234-5920</t>
  </si>
  <si>
    <t>010-1234-5921</t>
  </si>
  <si>
    <t>010-1234-5922</t>
  </si>
  <si>
    <t>010-1234-5923</t>
  </si>
  <si>
    <t>010-1234-5924</t>
  </si>
  <si>
    <t>010-1234-5925</t>
  </si>
  <si>
    <t>010-1234-5926</t>
  </si>
  <si>
    <t>010-1234-5927</t>
  </si>
  <si>
    <t>010-1234-5928</t>
  </si>
  <si>
    <t>010-1234-5929</t>
  </si>
  <si>
    <t>010-1234-5930</t>
  </si>
  <si>
    <t>010-1234-5931</t>
  </si>
  <si>
    <t>010-1234-5932</t>
  </si>
  <si>
    <t>010-1234-5933</t>
  </si>
  <si>
    <t>010-1234-5934</t>
  </si>
  <si>
    <t>010-1234-5935</t>
  </si>
  <si>
    <t>010-1234-5936</t>
  </si>
  <si>
    <t>010-1234-5937</t>
  </si>
  <si>
    <t>010-1234-5938</t>
  </si>
  <si>
    <t>010-1234-5939</t>
  </si>
  <si>
    <t>010-1234-5940</t>
  </si>
  <si>
    <t>010-1234-5941</t>
  </si>
  <si>
    <t>010-1234-5942</t>
  </si>
  <si>
    <t>010-1234-5943</t>
  </si>
  <si>
    <t>010-1234-5944</t>
  </si>
  <si>
    <t>010-1234-5945</t>
  </si>
  <si>
    <t>010-1234-5946</t>
  </si>
  <si>
    <t>010-1234-5947</t>
  </si>
  <si>
    <t>010-1234-5948</t>
  </si>
  <si>
    <t>010-1234-5949</t>
  </si>
  <si>
    <t>010-1234-5950</t>
  </si>
  <si>
    <t>010-1234-5951</t>
  </si>
  <si>
    <t>010-1234-5952</t>
  </si>
  <si>
    <t>010-1234-5953</t>
  </si>
  <si>
    <t>010-1234-5954</t>
  </si>
  <si>
    <t>010-1234-5955</t>
  </si>
  <si>
    <t>010-1234-5956</t>
  </si>
  <si>
    <t>010-1234-5957</t>
  </si>
  <si>
    <t>010-1234-5958</t>
  </si>
  <si>
    <t>010-1234-5959</t>
  </si>
  <si>
    <t>010-1234-5960</t>
  </si>
  <si>
    <t>010-1234-5961</t>
  </si>
  <si>
    <t>010-1234-5962</t>
  </si>
  <si>
    <t>010-1234-5963</t>
  </si>
  <si>
    <t>010-1234-5964</t>
  </si>
  <si>
    <t>010-1234-5965</t>
  </si>
  <si>
    <t>010-1234-5966</t>
  </si>
  <si>
    <t>010-1234-5967</t>
  </si>
  <si>
    <t>010-1234-5968</t>
  </si>
  <si>
    <t>010-1234-5969</t>
  </si>
  <si>
    <t>010-1234-5970</t>
  </si>
  <si>
    <t>010-1234-5971</t>
  </si>
  <si>
    <t>010-1234-5972</t>
  </si>
  <si>
    <t>010-1234-5973</t>
  </si>
  <si>
    <t>010-1234-5974</t>
  </si>
  <si>
    <t>010-1234-5975</t>
  </si>
  <si>
    <t>010-1234-5976</t>
  </si>
  <si>
    <t>010-1234-5977</t>
  </si>
  <si>
    <t>010-1234-5978</t>
  </si>
  <si>
    <t>010-1234-5979</t>
  </si>
  <si>
    <t>010-1234-5980</t>
  </si>
  <si>
    <t>010-1234-5981</t>
  </si>
  <si>
    <t>010-1234-5982</t>
  </si>
  <si>
    <t>010-1234-5983</t>
  </si>
  <si>
    <t>010-1234-5984</t>
  </si>
  <si>
    <t>010-1234-5985</t>
  </si>
  <si>
    <t>010-1234-5986</t>
  </si>
  <si>
    <t>010-1234-5987</t>
  </si>
  <si>
    <t>010-1234-5988</t>
  </si>
  <si>
    <t>010-1234-5989</t>
  </si>
  <si>
    <t>010-1234-5990</t>
  </si>
  <si>
    <t>010-1234-5991</t>
  </si>
  <si>
    <t>010-1234-5992</t>
  </si>
  <si>
    <t>010-1234-5993</t>
  </si>
  <si>
    <t>010-1234-5994</t>
  </si>
  <si>
    <t>010-1234-5995</t>
  </si>
  <si>
    <t>010-1234-5996</t>
  </si>
  <si>
    <t>010-1234-5997</t>
  </si>
  <si>
    <t>010-1234-5998</t>
  </si>
  <si>
    <t>010-1234-5999</t>
  </si>
  <si>
    <t>010-1234-6000</t>
  </si>
  <si>
    <t>010-1234-6001</t>
  </si>
  <si>
    <t>010-1234-6002</t>
  </si>
  <si>
    <t>010-1234-6003</t>
  </si>
  <si>
    <t>010-1234-6004</t>
  </si>
  <si>
    <t>010-1234-6005</t>
  </si>
  <si>
    <t>010-1234-6006</t>
  </si>
  <si>
    <t>010-1234-6007</t>
  </si>
  <si>
    <t>010-1234-6008</t>
  </si>
  <si>
    <t>010-1234-6009</t>
  </si>
  <si>
    <t>010-1234-6010</t>
  </si>
  <si>
    <t>010-1234-6011</t>
  </si>
  <si>
    <t>010-1234-6012</t>
  </si>
  <si>
    <t>010-1234-6013</t>
  </si>
  <si>
    <t>010-1234-6014</t>
  </si>
  <si>
    <t>010-1234-6015</t>
  </si>
  <si>
    <t>010-1234-6016</t>
  </si>
  <si>
    <t>010-1234-6017</t>
  </si>
  <si>
    <t>010-1234-6018</t>
  </si>
  <si>
    <t>010-1234-6019</t>
  </si>
  <si>
    <t>010-1234-6020</t>
  </si>
  <si>
    <t>010-1234-6021</t>
  </si>
  <si>
    <t>010-1234-6022</t>
  </si>
  <si>
    <t>010-1234-6023</t>
  </si>
  <si>
    <t>010-1234-6024</t>
  </si>
  <si>
    <t>010-1234-6025</t>
  </si>
  <si>
    <t>010-1234-6026</t>
  </si>
  <si>
    <t>010-1234-6027</t>
  </si>
  <si>
    <t>010-1234-6028</t>
  </si>
  <si>
    <t>010-1234-6029</t>
  </si>
  <si>
    <t>010-1234-6030</t>
  </si>
  <si>
    <t>010-1234-6031</t>
  </si>
  <si>
    <t>010-1234-6032</t>
  </si>
  <si>
    <t>010-1234-6033</t>
  </si>
  <si>
    <t>010-1234-6034</t>
  </si>
  <si>
    <t>010-1234-6035</t>
  </si>
  <si>
    <t>010-1234-6036</t>
  </si>
  <si>
    <t>010-1234-6037</t>
  </si>
  <si>
    <t>010-1234-6038</t>
  </si>
  <si>
    <t>010-1234-6039</t>
  </si>
  <si>
    <t>010-1234-6040</t>
  </si>
  <si>
    <t>010-1234-6041</t>
  </si>
  <si>
    <t>010-1234-6042</t>
  </si>
  <si>
    <t>010-1234-6043</t>
  </si>
  <si>
    <t>010-1234-6044</t>
  </si>
  <si>
    <t>010-1234-6045</t>
  </si>
  <si>
    <t>010-1234-6046</t>
  </si>
  <si>
    <t>010-1234-6047</t>
  </si>
  <si>
    <t>010-1234-6048</t>
  </si>
  <si>
    <t>010-1234-6049</t>
  </si>
  <si>
    <t>010-1234-6050</t>
  </si>
  <si>
    <t>010-1234-6051</t>
  </si>
  <si>
    <t>010-1234-6052</t>
  </si>
  <si>
    <t>010-1234-6053</t>
  </si>
  <si>
    <t>010-1234-6054</t>
  </si>
  <si>
    <t>010-1234-6055</t>
  </si>
  <si>
    <t>010-1234-6056</t>
  </si>
  <si>
    <t>010-1234-6057</t>
  </si>
  <si>
    <t>010-1234-6058</t>
  </si>
  <si>
    <t>010-1234-6059</t>
  </si>
  <si>
    <t>010-1234-6060</t>
  </si>
  <si>
    <t>010-1234-6061</t>
  </si>
  <si>
    <t>010-1234-6062</t>
  </si>
  <si>
    <t>010-1234-6063</t>
  </si>
  <si>
    <t>010-1234-6064</t>
  </si>
  <si>
    <t>010-1234-6065</t>
  </si>
  <si>
    <t>010-1234-6066</t>
  </si>
  <si>
    <t>010-1234-6067</t>
  </si>
  <si>
    <t>010-1234-6068</t>
  </si>
  <si>
    <t>010-1234-6069</t>
  </si>
  <si>
    <t>010-1234-6070</t>
  </si>
  <si>
    <t>010-1234-6071</t>
  </si>
  <si>
    <t>010-1234-6072</t>
  </si>
  <si>
    <t>010-1234-6073</t>
  </si>
  <si>
    <t>010-1234-6074</t>
  </si>
  <si>
    <t>010-1234-6075</t>
  </si>
  <si>
    <t>010-1234-6076</t>
  </si>
  <si>
    <t>010-1234-6077</t>
  </si>
  <si>
    <t>010-1234-6078</t>
  </si>
  <si>
    <t>010-1234-6079</t>
  </si>
  <si>
    <t>010-1234-6080</t>
  </si>
  <si>
    <t>010-1234-6081</t>
  </si>
  <si>
    <t>010-1234-6082</t>
  </si>
  <si>
    <t>010-1234-6083</t>
  </si>
  <si>
    <t>010-1234-6084</t>
  </si>
  <si>
    <t>010-1234-6085</t>
  </si>
  <si>
    <t>010-1234-6086</t>
  </si>
  <si>
    <t>010-1234-6087</t>
  </si>
  <si>
    <t>010-1234-6088</t>
  </si>
  <si>
    <t>010-1234-6089</t>
  </si>
  <si>
    <t>010-1234-6090</t>
  </si>
  <si>
    <t>010-1234-6091</t>
  </si>
  <si>
    <t>010-1234-6092</t>
  </si>
  <si>
    <t>010-1234-6093</t>
  </si>
  <si>
    <t>010-1234-6094</t>
  </si>
  <si>
    <t>010-1234-6095</t>
  </si>
  <si>
    <t>010-1234-6096</t>
  </si>
  <si>
    <t>010-1234-6097</t>
  </si>
  <si>
    <t>010-1234-6098</t>
  </si>
  <si>
    <t>010-1234-6099</t>
  </si>
  <si>
    <t>010-1234-6100</t>
  </si>
  <si>
    <t>010-1234-6101</t>
  </si>
  <si>
    <t>010-1234-6102</t>
  </si>
  <si>
    <t>010-1234-6103</t>
  </si>
  <si>
    <t>010-1234-6104</t>
  </si>
  <si>
    <t>010-1234-6105</t>
  </si>
  <si>
    <t>010-1234-6106</t>
  </si>
  <si>
    <t>010-1234-6107</t>
  </si>
  <si>
    <t>010-1234-6108</t>
  </si>
  <si>
    <t>010-1234-6109</t>
  </si>
  <si>
    <t>010-1234-6110</t>
  </si>
  <si>
    <t>010-1234-6111</t>
  </si>
  <si>
    <t>010-1234-6112</t>
  </si>
  <si>
    <t>010-1234-6113</t>
  </si>
  <si>
    <t>010-1234-6114</t>
  </si>
  <si>
    <t>010-1234-6115</t>
  </si>
  <si>
    <t>010-1234-6116</t>
  </si>
  <si>
    <t>010-1234-6117</t>
  </si>
  <si>
    <t>010-1234-6118</t>
  </si>
  <si>
    <t>010-1234-6119</t>
  </si>
  <si>
    <t>010-1234-6120</t>
  </si>
  <si>
    <t>010-1234-6121</t>
  </si>
  <si>
    <t>010-1234-6122</t>
  </si>
  <si>
    <t>010-1234-6123</t>
  </si>
  <si>
    <t>010-1234-6124</t>
  </si>
  <si>
    <t>010-1234-6125</t>
  </si>
  <si>
    <t>010-1234-6126</t>
  </si>
  <si>
    <t>010-1234-6127</t>
  </si>
  <si>
    <t>010-1234-6128</t>
  </si>
  <si>
    <t>010-1234-6129</t>
  </si>
  <si>
    <t>010-1234-6130</t>
  </si>
  <si>
    <t>010-1234-6131</t>
  </si>
  <si>
    <t>010-1234-6132</t>
  </si>
  <si>
    <t>010-1234-6133</t>
  </si>
  <si>
    <t>010-1234-6134</t>
  </si>
  <si>
    <t>010-1234-6135</t>
  </si>
  <si>
    <t>010-1234-6136</t>
  </si>
  <si>
    <t>010-1234-6137</t>
  </si>
  <si>
    <t>010-1234-6138</t>
  </si>
  <si>
    <t>010-1234-6139</t>
  </si>
  <si>
    <t>010-1234-6140</t>
  </si>
  <si>
    <t>010-1234-6141</t>
  </si>
  <si>
    <t>010-1234-6142</t>
  </si>
  <si>
    <t>010-1234-6143</t>
  </si>
  <si>
    <t>010-1234-6144</t>
  </si>
  <si>
    <t>010-1234-6145</t>
  </si>
  <si>
    <t>010-1234-6146</t>
  </si>
  <si>
    <t>010-1234-6147</t>
  </si>
  <si>
    <t>010-1234-6148</t>
  </si>
  <si>
    <t>010-1234-6149</t>
  </si>
  <si>
    <t>010-1234-6150</t>
  </si>
  <si>
    <t>010-1234-6151</t>
  </si>
  <si>
    <t>010-1234-6152</t>
  </si>
  <si>
    <t>010-1234-6153</t>
  </si>
  <si>
    <t>010-1234-6154</t>
  </si>
  <si>
    <t>010-1234-6155</t>
  </si>
  <si>
    <t>010-1234-6156</t>
  </si>
  <si>
    <t>010-1234-6157</t>
  </si>
  <si>
    <t>010-1234-6158</t>
  </si>
  <si>
    <t>010-1234-6159</t>
  </si>
  <si>
    <t>010-1234-6160</t>
  </si>
  <si>
    <t>010-1234-6161</t>
  </si>
  <si>
    <t>010-1234-6162</t>
  </si>
  <si>
    <t>010-1234-6163</t>
  </si>
  <si>
    <t>010-1234-6164</t>
  </si>
  <si>
    <t>010-1234-6165</t>
  </si>
  <si>
    <t>010-1234-6166</t>
  </si>
  <si>
    <t>010-1234-6167</t>
  </si>
  <si>
    <t>010-1234-6168</t>
  </si>
  <si>
    <t>010-1234-6169</t>
  </si>
  <si>
    <t>010-1234-6170</t>
  </si>
  <si>
    <t>010-1234-6171</t>
  </si>
  <si>
    <t>010-1234-6172</t>
  </si>
  <si>
    <t>010-1234-6173</t>
  </si>
  <si>
    <t>010-1234-6174</t>
  </si>
  <si>
    <t>010-1234-6175</t>
  </si>
  <si>
    <t>010-1234-6176</t>
  </si>
  <si>
    <t>010-1234-6177</t>
  </si>
  <si>
    <t>010-1234-6178</t>
  </si>
  <si>
    <t>010-1234-6179</t>
  </si>
  <si>
    <t>010-1234-6180</t>
  </si>
  <si>
    <t>010-1234-6181</t>
  </si>
  <si>
    <t>010-1234-6182</t>
  </si>
  <si>
    <t>010-1234-6183</t>
  </si>
  <si>
    <t>010-1234-6184</t>
  </si>
  <si>
    <t>010-1234-6185</t>
  </si>
  <si>
    <t>010-1234-6186</t>
  </si>
  <si>
    <t>010-1234-6187</t>
  </si>
  <si>
    <t>010-1234-6188</t>
  </si>
  <si>
    <t>010-1234-6189</t>
  </si>
  <si>
    <t>010-1234-6190</t>
  </si>
  <si>
    <t>010-1234-6191</t>
  </si>
  <si>
    <t>010-1234-6192</t>
  </si>
  <si>
    <t>010-1234-6193</t>
  </si>
  <si>
    <t>010-1234-6194</t>
  </si>
  <si>
    <t>010-1234-6195</t>
  </si>
  <si>
    <t>010-1234-6196</t>
  </si>
  <si>
    <t>010-1234-6197</t>
  </si>
  <si>
    <t>010-1234-6198</t>
  </si>
  <si>
    <t>010-1234-6199</t>
  </si>
  <si>
    <t>010-1234-6200</t>
  </si>
  <si>
    <t>010-1234-6201</t>
  </si>
  <si>
    <t>010-1234-6202</t>
  </si>
  <si>
    <t>010-1234-6203</t>
  </si>
  <si>
    <t>010-1234-6204</t>
  </si>
  <si>
    <t>010-1234-6205</t>
  </si>
  <si>
    <t>010-1234-6206</t>
  </si>
  <si>
    <t>010-1234-6207</t>
  </si>
  <si>
    <t>010-1234-6208</t>
  </si>
  <si>
    <t>010-1234-6209</t>
  </si>
  <si>
    <t>010-1234-6210</t>
  </si>
  <si>
    <t>010-1234-6211</t>
  </si>
  <si>
    <t>010-1234-6212</t>
  </si>
  <si>
    <t>010-1234-6213</t>
  </si>
  <si>
    <t>010-1234-6214</t>
  </si>
  <si>
    <t>010-1234-6215</t>
  </si>
  <si>
    <t>010-1234-6216</t>
  </si>
  <si>
    <t>010-1234-6217</t>
  </si>
  <si>
    <t>010-1234-6218</t>
  </si>
  <si>
    <t>010-1234-6219</t>
  </si>
  <si>
    <t>010-1234-6220</t>
  </si>
  <si>
    <t>010-1234-6221</t>
  </si>
  <si>
    <t>010-1234-6222</t>
  </si>
  <si>
    <t>010-1234-6223</t>
  </si>
  <si>
    <t>010-1234-6224</t>
  </si>
  <si>
    <t>010-1234-6225</t>
  </si>
  <si>
    <t>010-1234-6226</t>
  </si>
  <si>
    <t>010-1234-6227</t>
  </si>
  <si>
    <t>010-1234-6228</t>
  </si>
  <si>
    <t>010-1234-6229</t>
  </si>
  <si>
    <t>010-1234-6230</t>
  </si>
  <si>
    <t>010-1234-6231</t>
  </si>
  <si>
    <t>010-1234-6232</t>
  </si>
  <si>
    <t>010-1234-6233</t>
  </si>
  <si>
    <t>010-1234-6234</t>
  </si>
  <si>
    <t>010-1234-6235</t>
  </si>
  <si>
    <t>010-1234-6236</t>
  </si>
  <si>
    <t>010-1234-6237</t>
  </si>
  <si>
    <t>010-1234-6238</t>
  </si>
  <si>
    <t>010-1234-6239</t>
  </si>
  <si>
    <t>010-1234-6240</t>
  </si>
  <si>
    <t>010-1234-6241</t>
  </si>
  <si>
    <t>010-1234-6242</t>
  </si>
  <si>
    <t>010-1234-6243</t>
  </si>
  <si>
    <t>010-1234-6244</t>
  </si>
  <si>
    <t>010-1234-6245</t>
  </si>
  <si>
    <t>010-1234-6246</t>
  </si>
  <si>
    <t>010-1234-6247</t>
  </si>
  <si>
    <t>010-1234-6248</t>
  </si>
  <si>
    <t>010-1234-6249</t>
  </si>
  <si>
    <t>010-1234-6250</t>
  </si>
  <si>
    <t>010-1234-6251</t>
  </si>
  <si>
    <t>010-1234-6252</t>
  </si>
  <si>
    <t>010-1234-6253</t>
  </si>
  <si>
    <t>010-1234-6254</t>
  </si>
  <si>
    <t>010-1234-6255</t>
  </si>
  <si>
    <t>010-1234-6256</t>
  </si>
  <si>
    <t>010-1234-6257</t>
  </si>
  <si>
    <t>010-1234-6258</t>
  </si>
  <si>
    <t>010-1234-6259</t>
  </si>
  <si>
    <t>010-1234-6260</t>
  </si>
  <si>
    <t>010-1234-6261</t>
  </si>
  <si>
    <t>010-1234-6262</t>
  </si>
  <si>
    <t>010-1234-6263</t>
  </si>
  <si>
    <t>010-1234-6264</t>
  </si>
  <si>
    <t>010-1234-6265</t>
  </si>
  <si>
    <t>010-1234-6266</t>
  </si>
  <si>
    <t>010-1234-6267</t>
  </si>
  <si>
    <t>010-1234-6268</t>
  </si>
  <si>
    <t>010-1234-6269</t>
  </si>
  <si>
    <t>010-1234-6270</t>
  </si>
  <si>
    <t>010-1234-6271</t>
  </si>
  <si>
    <t>010-1234-6272</t>
  </si>
  <si>
    <t>010-1234-6273</t>
  </si>
  <si>
    <t>010-1234-6274</t>
  </si>
  <si>
    <t>010-1234-6275</t>
  </si>
  <si>
    <t>010-1234-6276</t>
  </si>
  <si>
    <t>010-1234-6277</t>
  </si>
  <si>
    <t>010-1234-6278</t>
  </si>
  <si>
    <t>010-1234-6279</t>
  </si>
  <si>
    <t>010-1234-6280</t>
  </si>
  <si>
    <t>010-1234-6281</t>
  </si>
  <si>
    <t>010-1234-6282</t>
  </si>
  <si>
    <t>010-1234-6283</t>
  </si>
  <si>
    <t>010-1234-6284</t>
  </si>
  <si>
    <t>010-1234-6285</t>
  </si>
  <si>
    <t>010-1234-6286</t>
  </si>
  <si>
    <t>010-1234-6287</t>
  </si>
  <si>
    <t>010-1234-6288</t>
  </si>
  <si>
    <t>010-1234-6289</t>
  </si>
  <si>
    <t>010-1234-6290</t>
  </si>
  <si>
    <t>010-1234-6291</t>
  </si>
  <si>
    <t>010-1234-6292</t>
  </si>
  <si>
    <t>010-1234-6293</t>
  </si>
  <si>
    <t>010-1234-6294</t>
  </si>
  <si>
    <t>010-1234-6295</t>
  </si>
  <si>
    <t>010-1234-6296</t>
  </si>
  <si>
    <t>010-1234-6297</t>
  </si>
  <si>
    <t>010-1234-6298</t>
  </si>
  <si>
    <t>010-1234-6299</t>
  </si>
  <si>
    <t>010-1234-6300</t>
  </si>
  <si>
    <t>010-1234-6301</t>
  </si>
  <si>
    <t>010-1234-6302</t>
  </si>
  <si>
    <t>010-1234-6303</t>
  </si>
  <si>
    <t>010-1234-6304</t>
  </si>
  <si>
    <t>010-1234-6305</t>
  </si>
  <si>
    <t>010-1234-6306</t>
  </si>
  <si>
    <t>010-1234-6307</t>
  </si>
  <si>
    <t>010-1234-6308</t>
  </si>
  <si>
    <t>010-1234-6309</t>
  </si>
  <si>
    <t>010-1234-6310</t>
  </si>
  <si>
    <t>010-1234-6311</t>
  </si>
  <si>
    <t>010-1234-6312</t>
  </si>
  <si>
    <t>010-1234-6313</t>
  </si>
  <si>
    <t>010-1234-6314</t>
  </si>
  <si>
    <t>010-1234-6315</t>
  </si>
  <si>
    <t>010-1234-6316</t>
  </si>
  <si>
    <t>010-1234-6317</t>
  </si>
  <si>
    <t>010-1234-6318</t>
  </si>
  <si>
    <t>010-1234-6319</t>
  </si>
  <si>
    <t>010-1234-6320</t>
  </si>
  <si>
    <t>010-1234-6321</t>
  </si>
  <si>
    <t>010-1234-6322</t>
  </si>
  <si>
    <t>010-1234-6323</t>
  </si>
  <si>
    <t>010-1234-6324</t>
  </si>
  <si>
    <t>010-1234-6325</t>
  </si>
  <si>
    <t>010-1234-6326</t>
  </si>
  <si>
    <t>010-1234-6327</t>
  </si>
  <si>
    <t>010-1234-6328</t>
  </si>
  <si>
    <t>010-1234-6329</t>
  </si>
  <si>
    <t>010-1234-6330</t>
  </si>
  <si>
    <t>010-1234-6331</t>
  </si>
  <si>
    <t>010-1234-6332</t>
  </si>
  <si>
    <t>010-1234-6333</t>
  </si>
  <si>
    <t>010-1234-6334</t>
  </si>
  <si>
    <t>010-1234-6335</t>
  </si>
  <si>
    <t>010-1234-6336</t>
  </si>
  <si>
    <t>010-1234-6337</t>
  </si>
  <si>
    <t>010-1234-6338</t>
  </si>
  <si>
    <t>010-1234-6339</t>
  </si>
  <si>
    <t>010-1234-6340</t>
  </si>
  <si>
    <t>010-1234-6341</t>
  </si>
  <si>
    <t>010-1234-6342</t>
  </si>
  <si>
    <t>010-1234-6343</t>
  </si>
  <si>
    <t>010-1234-6344</t>
  </si>
  <si>
    <t>010-1234-6345</t>
  </si>
  <si>
    <t>010-1234-6346</t>
  </si>
  <si>
    <t>010-1234-6347</t>
  </si>
  <si>
    <t>010-1234-6348</t>
  </si>
  <si>
    <t>010-1234-6349</t>
  </si>
  <si>
    <t>010-1234-6350</t>
  </si>
  <si>
    <t>010-1234-6351</t>
  </si>
  <si>
    <t>010-1234-6352</t>
  </si>
  <si>
    <t>010-1234-6353</t>
  </si>
  <si>
    <t>010-1234-6354</t>
  </si>
  <si>
    <t>010-1234-6355</t>
  </si>
  <si>
    <t>010-1234-6356</t>
  </si>
  <si>
    <t>010-1234-6357</t>
  </si>
  <si>
    <t>010-1234-6358</t>
  </si>
  <si>
    <t>010-1234-6359</t>
  </si>
  <si>
    <t>010-1234-6360</t>
  </si>
  <si>
    <t>010-1234-6361</t>
  </si>
  <si>
    <t>010-1234-6362</t>
  </si>
  <si>
    <t>010-1234-6363</t>
  </si>
  <si>
    <t>010-1234-6364</t>
  </si>
  <si>
    <t>010-1234-6365</t>
  </si>
  <si>
    <t>010-1234-6366</t>
  </si>
  <si>
    <t>010-1234-6367</t>
  </si>
  <si>
    <t>010-1234-6368</t>
  </si>
  <si>
    <t>010-1234-6369</t>
  </si>
  <si>
    <t>010-1234-6370</t>
  </si>
  <si>
    <t>010-1234-6371</t>
  </si>
  <si>
    <t>010-1234-6372</t>
  </si>
  <si>
    <t>010-1234-6373</t>
  </si>
  <si>
    <t>010-1234-6374</t>
  </si>
  <si>
    <t>010-1234-6375</t>
  </si>
  <si>
    <t>010-1234-6376</t>
  </si>
  <si>
    <t>010-1234-6377</t>
  </si>
  <si>
    <t>010-1234-6378</t>
  </si>
  <si>
    <t>010-1234-6379</t>
  </si>
  <si>
    <t>010-1234-6380</t>
  </si>
  <si>
    <t>010-1234-6381</t>
  </si>
  <si>
    <t>010-1234-6382</t>
  </si>
  <si>
    <t>010-1234-6383</t>
  </si>
  <si>
    <t>010-1234-6384</t>
  </si>
  <si>
    <t>010-1234-6385</t>
  </si>
  <si>
    <t>010-1234-6386</t>
  </si>
  <si>
    <t>010-1234-6387</t>
  </si>
  <si>
    <t>010-1234-6388</t>
  </si>
  <si>
    <t>010-1234-6389</t>
  </si>
  <si>
    <t>010-1234-6390</t>
  </si>
  <si>
    <t>010-1234-6391</t>
  </si>
  <si>
    <t>010-1234-6392</t>
  </si>
  <si>
    <t>010-1234-6393</t>
  </si>
  <si>
    <t>010-1234-6394</t>
  </si>
  <si>
    <t>010-1234-6395</t>
  </si>
  <si>
    <t>010-1234-6396</t>
  </si>
  <si>
    <t>010-1234-6397</t>
  </si>
  <si>
    <t>010-1234-6398</t>
  </si>
  <si>
    <t>010-1234-6399</t>
  </si>
  <si>
    <t>010-1234-6400</t>
  </si>
  <si>
    <t>010-1234-6401</t>
  </si>
  <si>
    <t>010-1234-6402</t>
  </si>
  <si>
    <t>010-1234-6403</t>
  </si>
  <si>
    <t>010-1234-6404</t>
  </si>
  <si>
    <t>010-1234-6405</t>
  </si>
  <si>
    <t>010-1234-6406</t>
  </si>
  <si>
    <t>010-1234-6407</t>
  </si>
  <si>
    <t>010-1234-6408</t>
  </si>
  <si>
    <t>010-1234-6409</t>
  </si>
  <si>
    <t>010-1234-6410</t>
  </si>
  <si>
    <t>010-1234-6411</t>
  </si>
  <si>
    <t>010-1234-6412</t>
  </si>
  <si>
    <t>010-1234-6413</t>
  </si>
  <si>
    <t>010-1234-6414</t>
  </si>
  <si>
    <t>010-1234-6415</t>
  </si>
  <si>
    <t>010-1234-6416</t>
  </si>
  <si>
    <t>010-1234-6417</t>
  </si>
  <si>
    <t>010-1234-6418</t>
  </si>
  <si>
    <t>010-1234-6419</t>
  </si>
  <si>
    <t>010-1234-6420</t>
  </si>
  <si>
    <t>010-1234-6421</t>
  </si>
  <si>
    <t>010-1234-6422</t>
  </si>
  <si>
    <t>010-1234-6423</t>
  </si>
  <si>
    <t>010-1234-6424</t>
  </si>
  <si>
    <t>010-1234-6425</t>
  </si>
  <si>
    <t>010-1234-6426</t>
  </si>
  <si>
    <t>010-1234-6427</t>
  </si>
  <si>
    <t>010-1234-6428</t>
  </si>
  <si>
    <t>010-1234-6429</t>
  </si>
  <si>
    <t>010-1234-6430</t>
  </si>
  <si>
    <t>010-1234-6431</t>
  </si>
  <si>
    <t>010-1234-6432</t>
  </si>
  <si>
    <t>010-1234-6433</t>
  </si>
  <si>
    <t>010-1234-6434</t>
  </si>
  <si>
    <t>010-1234-6435</t>
  </si>
  <si>
    <t>010-1234-6436</t>
  </si>
  <si>
    <t>010-1234-6437</t>
  </si>
  <si>
    <t>010-1234-6438</t>
  </si>
  <si>
    <t>010-1234-6439</t>
  </si>
  <si>
    <t>010-1234-6440</t>
  </si>
  <si>
    <t>010-1234-6441</t>
  </si>
  <si>
    <t>010-1234-6442</t>
  </si>
  <si>
    <t>010-1234-6443</t>
  </si>
  <si>
    <t>010-1234-6444</t>
  </si>
  <si>
    <t>010-1234-6445</t>
  </si>
  <si>
    <t>010-1234-6446</t>
  </si>
  <si>
    <t>010-1234-6447</t>
  </si>
  <si>
    <t>010-1234-6448</t>
  </si>
  <si>
    <t>010-1234-6449</t>
  </si>
  <si>
    <t>010-1234-6450</t>
  </si>
  <si>
    <t>010-1234-6451</t>
  </si>
  <si>
    <t>010-1234-6452</t>
  </si>
  <si>
    <t>010-1234-6453</t>
  </si>
  <si>
    <t>010-1234-6454</t>
  </si>
  <si>
    <t>010-1234-6455</t>
  </si>
  <si>
    <t>010-1234-6456</t>
  </si>
  <si>
    <t>010-1234-6457</t>
  </si>
  <si>
    <t>010-1234-6458</t>
  </si>
  <si>
    <t>010-1234-6459</t>
  </si>
  <si>
    <t>010-1234-6460</t>
  </si>
  <si>
    <t>010-1234-6461</t>
  </si>
  <si>
    <t>010-1234-6462</t>
  </si>
  <si>
    <t>010-1234-6463</t>
  </si>
  <si>
    <t>010-1234-6464</t>
  </si>
  <si>
    <t>010-1234-6465</t>
  </si>
  <si>
    <t>010-1234-6466</t>
  </si>
  <si>
    <t>010-1234-6467</t>
  </si>
  <si>
    <t>010-1234-6468</t>
  </si>
  <si>
    <t>010-1234-6469</t>
  </si>
  <si>
    <t>010-1234-6470</t>
  </si>
  <si>
    <t>010-1234-6471</t>
  </si>
  <si>
    <t>010-1234-6472</t>
  </si>
  <si>
    <t>010-1234-6473</t>
  </si>
  <si>
    <t>010-1234-6474</t>
  </si>
  <si>
    <t>010-1234-6475</t>
  </si>
  <si>
    <t>010-1234-6476</t>
  </si>
  <si>
    <t>010-1234-6477</t>
  </si>
  <si>
    <t>010-1234-6478</t>
  </si>
  <si>
    <t>010-1234-6479</t>
  </si>
  <si>
    <t>010-1234-6480</t>
  </si>
  <si>
    <t>010-1234-6481</t>
  </si>
  <si>
    <t>010-1234-6482</t>
  </si>
  <si>
    <t>010-1234-6483</t>
  </si>
  <si>
    <t>010-1234-6484</t>
  </si>
  <si>
    <t>010-1234-6485</t>
  </si>
  <si>
    <t>010-1234-6486</t>
  </si>
  <si>
    <t>010-1234-6487</t>
  </si>
  <si>
    <t>010-1234-6488</t>
  </si>
  <si>
    <t>010-1234-6489</t>
  </si>
  <si>
    <t>010-1234-6490</t>
  </si>
  <si>
    <t>010-1234-6491</t>
  </si>
  <si>
    <t>010-1234-6492</t>
  </si>
  <si>
    <t>010-1234-6493</t>
  </si>
  <si>
    <t>010-1234-6494</t>
  </si>
  <si>
    <t>010-1234-6495</t>
  </si>
  <si>
    <t>010-1234-6496</t>
  </si>
  <si>
    <t>010-1234-6497</t>
  </si>
  <si>
    <t>010-1234-6498</t>
  </si>
  <si>
    <t>010-1234-6499</t>
  </si>
  <si>
    <t>010-1234-6500</t>
  </si>
  <si>
    <t>010-1234-6501</t>
  </si>
  <si>
    <t>010-1234-6502</t>
  </si>
  <si>
    <t>010-1234-6503</t>
  </si>
  <si>
    <t>010-1234-6504</t>
  </si>
  <si>
    <t>010-1234-6505</t>
  </si>
  <si>
    <t>010-1234-6506</t>
  </si>
  <si>
    <t>010-1234-6507</t>
  </si>
  <si>
    <t>010-1234-6508</t>
  </si>
  <si>
    <t>010-1234-6509</t>
  </si>
  <si>
    <t>010-1234-6510</t>
  </si>
  <si>
    <t>010-1234-6511</t>
  </si>
  <si>
    <t>010-1234-6512</t>
  </si>
  <si>
    <t>010-1234-6513</t>
  </si>
  <si>
    <t>010-1234-6514</t>
  </si>
  <si>
    <t>010-1234-6515</t>
  </si>
  <si>
    <t>010-1234-6516</t>
  </si>
  <si>
    <t>010-1234-6517</t>
  </si>
  <si>
    <t>010-1234-6518</t>
  </si>
  <si>
    <t>010-1234-6519</t>
  </si>
  <si>
    <t>010-1234-6520</t>
  </si>
  <si>
    <t>010-1234-6521</t>
  </si>
  <si>
    <t>010-1234-6522</t>
  </si>
  <si>
    <t>010-1234-6523</t>
  </si>
  <si>
    <t>010-1234-6524</t>
  </si>
  <si>
    <t>010-1234-6525</t>
  </si>
  <si>
    <t>010-1234-6526</t>
  </si>
  <si>
    <t>010-1234-6527</t>
  </si>
  <si>
    <t>010-1234-6528</t>
  </si>
  <si>
    <t>010-1234-6529</t>
  </si>
  <si>
    <t>010-1234-6530</t>
  </si>
  <si>
    <t>010-1234-6531</t>
  </si>
  <si>
    <t>010-1234-6532</t>
  </si>
  <si>
    <t>010-1234-6533</t>
  </si>
  <si>
    <t>010-1234-6534</t>
  </si>
  <si>
    <t>010-1234-6535</t>
  </si>
  <si>
    <t>010-1234-6536</t>
  </si>
  <si>
    <t>010-1234-6537</t>
  </si>
  <si>
    <t>010-1234-6538</t>
  </si>
  <si>
    <t>010-1234-6539</t>
  </si>
  <si>
    <t>010-1234-6540</t>
  </si>
  <si>
    <t>010-1234-6541</t>
  </si>
  <si>
    <t>010-1234-6542</t>
  </si>
  <si>
    <t>010-1234-6543</t>
  </si>
  <si>
    <t>010-1234-6544</t>
  </si>
  <si>
    <t>010-1234-6545</t>
  </si>
  <si>
    <t>010-1234-6546</t>
  </si>
  <si>
    <t>010-1234-6547</t>
  </si>
  <si>
    <t>010-1234-6548</t>
  </si>
  <si>
    <t>010-1234-6549</t>
  </si>
  <si>
    <t>010-1234-6550</t>
  </si>
  <si>
    <t>010-1234-6551</t>
  </si>
  <si>
    <t>010-1234-6552</t>
  </si>
  <si>
    <t>010-1234-6553</t>
  </si>
  <si>
    <t>010-1234-6554</t>
  </si>
  <si>
    <t>010-1234-6555</t>
  </si>
  <si>
    <t>010-1234-6556</t>
  </si>
  <si>
    <t>010-1234-6557</t>
  </si>
  <si>
    <t>010-1234-6558</t>
  </si>
  <si>
    <t>010-1234-6559</t>
  </si>
  <si>
    <t>010-1234-6560</t>
  </si>
  <si>
    <t>010-1234-6561</t>
  </si>
  <si>
    <t>010-1234-6562</t>
  </si>
  <si>
    <t>010-1234-6563</t>
  </si>
  <si>
    <t>010-1234-6564</t>
  </si>
  <si>
    <t>010-1234-6565</t>
  </si>
  <si>
    <t>010-1234-6566</t>
  </si>
  <si>
    <t>010-1234-6567</t>
  </si>
  <si>
    <t>010-1234-6568</t>
  </si>
  <si>
    <t>010-1234-6569</t>
  </si>
  <si>
    <t>010-1234-6570</t>
  </si>
  <si>
    <t>010-1234-6571</t>
  </si>
  <si>
    <t>010-1234-6572</t>
  </si>
  <si>
    <t>010-1234-6573</t>
  </si>
  <si>
    <t>010-1234-6574</t>
  </si>
  <si>
    <t>010-1234-6575</t>
  </si>
  <si>
    <t>010-1234-6576</t>
  </si>
  <si>
    <t>010-1234-6577</t>
  </si>
  <si>
    <t>010-1234-6578</t>
  </si>
  <si>
    <t>010-1234-6579</t>
  </si>
  <si>
    <t>010-1234-6580</t>
  </si>
  <si>
    <t>010-1234-6581</t>
  </si>
  <si>
    <t>010-1234-6582</t>
  </si>
  <si>
    <t>010-1234-6583</t>
  </si>
  <si>
    <t>010-1234-6584</t>
  </si>
  <si>
    <t>010-1234-6585</t>
  </si>
  <si>
    <t>010-1234-6586</t>
  </si>
  <si>
    <t>010-1234-6587</t>
  </si>
  <si>
    <t>010-1234-6588</t>
  </si>
  <si>
    <t>010-1234-6589</t>
  </si>
  <si>
    <t>010-1234-6590</t>
  </si>
  <si>
    <t>010-1234-6591</t>
  </si>
  <si>
    <t>010-1234-6592</t>
  </si>
  <si>
    <t>010-1234-6593</t>
  </si>
  <si>
    <t>010-1234-6594</t>
  </si>
  <si>
    <t>010-1234-6595</t>
  </si>
  <si>
    <t>010-1234-6596</t>
  </si>
  <si>
    <t>010-1234-6597</t>
  </si>
  <si>
    <t>010-1234-6598</t>
  </si>
  <si>
    <t>010-1234-6599</t>
  </si>
  <si>
    <t>010-1234-6600</t>
  </si>
  <si>
    <t>010-1234-6601</t>
  </si>
  <si>
    <t>010-1234-6602</t>
  </si>
  <si>
    <t>010-1234-6603</t>
  </si>
  <si>
    <t>010-1234-6604</t>
  </si>
  <si>
    <t>010-1234-6605</t>
  </si>
  <si>
    <t>010-1234-6606</t>
  </si>
  <si>
    <t>010-1234-6607</t>
  </si>
  <si>
    <t>010-1234-6608</t>
  </si>
  <si>
    <t>010-1234-6609</t>
  </si>
  <si>
    <t>010-1234-6610</t>
  </si>
  <si>
    <t>010-1234-6611</t>
  </si>
  <si>
    <t>010-1234-6612</t>
  </si>
  <si>
    <t>010-1234-6613</t>
  </si>
  <si>
    <t>010-1234-6614</t>
  </si>
  <si>
    <t>010-1234-6615</t>
  </si>
  <si>
    <t>010-1234-6616</t>
  </si>
  <si>
    <t>010-1234-6617</t>
  </si>
  <si>
    <t>010-1234-6618</t>
  </si>
  <si>
    <t>010-1234-6619</t>
  </si>
  <si>
    <t>010-1234-6620</t>
  </si>
  <si>
    <t>010-1234-6621</t>
  </si>
  <si>
    <t>010-1234-6622</t>
  </si>
  <si>
    <t>010-1234-6623</t>
  </si>
  <si>
    <t>010-1234-6624</t>
  </si>
  <si>
    <t>010-1234-6625</t>
  </si>
  <si>
    <t>010-1234-6626</t>
  </si>
  <si>
    <t>010-1234-6627</t>
  </si>
  <si>
    <t>010-1234-6628</t>
  </si>
  <si>
    <t>010-1234-6629</t>
  </si>
  <si>
    <t>010-1234-6630</t>
  </si>
  <si>
    <t>010-1234-6631</t>
  </si>
  <si>
    <t>010-1234-6632</t>
  </si>
  <si>
    <t>010-1234-6633</t>
  </si>
  <si>
    <t>010-1234-6634</t>
  </si>
  <si>
    <t>010-1234-6635</t>
  </si>
  <si>
    <t>010-1234-6636</t>
  </si>
  <si>
    <t>010-1234-6637</t>
  </si>
  <si>
    <t>010-1234-6638</t>
  </si>
  <si>
    <t>010-1234-6639</t>
  </si>
  <si>
    <t>010-1234-6640</t>
  </si>
  <si>
    <t>010-1234-6641</t>
  </si>
  <si>
    <t>010-1234-6642</t>
  </si>
  <si>
    <t>010-1234-6643</t>
  </si>
  <si>
    <t>010-1234-6644</t>
  </si>
  <si>
    <t>010-1234-6645</t>
  </si>
  <si>
    <t>010-1234-6646</t>
  </si>
  <si>
    <t>010-1234-6647</t>
  </si>
  <si>
    <t>010-1234-6648</t>
  </si>
  <si>
    <t>010-1234-6649</t>
  </si>
  <si>
    <t>010-1234-6650</t>
  </si>
  <si>
    <t>010-1234-6651</t>
  </si>
  <si>
    <t>010-1234-6652</t>
  </si>
  <si>
    <t>010-1234-6653</t>
  </si>
  <si>
    <t>010-1234-6654</t>
  </si>
  <si>
    <t>010-1234-6655</t>
  </si>
  <si>
    <t>010-1234-6656</t>
  </si>
  <si>
    <t>010-1234-6657</t>
  </si>
  <si>
    <t>010-1234-6658</t>
  </si>
  <si>
    <t>010-1234-6659</t>
  </si>
  <si>
    <t>010-1234-6660</t>
  </si>
  <si>
    <t>010-1234-6661</t>
  </si>
  <si>
    <t>010-1234-6662</t>
  </si>
  <si>
    <t>010-1234-6663</t>
  </si>
  <si>
    <t>010-1234-6664</t>
  </si>
  <si>
    <t>010-1234-6665</t>
  </si>
  <si>
    <t>010-1234-6666</t>
  </si>
  <si>
    <t>010-1234-6667</t>
  </si>
  <si>
    <t>010-1234-6668</t>
  </si>
  <si>
    <t>010-1234-6669</t>
  </si>
  <si>
    <t>010-1234-6670</t>
  </si>
  <si>
    <t>010-1234-6671</t>
  </si>
  <si>
    <t>010-1234-6672</t>
  </si>
  <si>
    <t>010-1234-6673</t>
  </si>
  <si>
    <t>010-1234-6674</t>
  </si>
  <si>
    <t>010-1234-6675</t>
  </si>
  <si>
    <t>010-1234-6676</t>
  </si>
  <si>
    <t>010-1234-6677</t>
  </si>
  <si>
    <t>010-1234-6678</t>
  </si>
  <si>
    <t>010-1234-6679</t>
  </si>
  <si>
    <t>010-1234-6680</t>
  </si>
  <si>
    <t>010-1234-6681</t>
  </si>
  <si>
    <t>010-1234-6682</t>
  </si>
  <si>
    <t>010-1234-6683</t>
  </si>
  <si>
    <t>010-1234-6684</t>
  </si>
  <si>
    <t>010-1234-6685</t>
  </si>
  <si>
    <t>010-1234-6686</t>
  </si>
  <si>
    <t>010-1234-6687</t>
  </si>
  <si>
    <t>010-1234-6688</t>
  </si>
  <si>
    <t>010-1234-6689</t>
  </si>
  <si>
    <t>010-1234-6690</t>
  </si>
  <si>
    <t>010-1234-6691</t>
  </si>
  <si>
    <t>010-1234-6692</t>
  </si>
  <si>
    <t>010-1234-6693</t>
  </si>
  <si>
    <t>010-1234-6694</t>
  </si>
  <si>
    <t>010-1234-6695</t>
  </si>
  <si>
    <t>010-1234-6696</t>
  </si>
  <si>
    <t>010-1234-6697</t>
  </si>
  <si>
    <t>010-1234-6698</t>
  </si>
  <si>
    <t>010-1234-6699</t>
  </si>
  <si>
    <t>010-1234-6700</t>
  </si>
  <si>
    <t>010-1234-6701</t>
  </si>
  <si>
    <t>010-1234-6702</t>
  </si>
  <si>
    <t>010-1234-6703</t>
  </si>
  <si>
    <t>010-1234-6704</t>
  </si>
  <si>
    <t>010-1234-6705</t>
  </si>
  <si>
    <t>010-1234-6706</t>
  </si>
  <si>
    <t>010-1234-6707</t>
  </si>
  <si>
    <t>010-1234-6708</t>
  </si>
  <si>
    <t>010-1234-6709</t>
  </si>
  <si>
    <t>010-1234-6710</t>
  </si>
  <si>
    <t>010-1234-6711</t>
  </si>
  <si>
    <t>010-1234-6712</t>
  </si>
  <si>
    <t>010-1234-6713</t>
  </si>
  <si>
    <t>010-1234-6714</t>
  </si>
  <si>
    <t>010-1234-6715</t>
  </si>
  <si>
    <t>010-1234-6716</t>
  </si>
  <si>
    <t>010-1234-6717</t>
  </si>
  <si>
    <t>010-1234-6718</t>
  </si>
  <si>
    <t>010-1234-6719</t>
  </si>
  <si>
    <t>010-1234-6720</t>
  </si>
  <si>
    <t>010-1234-6721</t>
  </si>
  <si>
    <t>010-1234-6722</t>
  </si>
  <si>
    <t>010-1234-6723</t>
  </si>
  <si>
    <t>010-1234-6724</t>
  </si>
  <si>
    <t>010-1234-6725</t>
  </si>
  <si>
    <t>010-1234-6726</t>
  </si>
  <si>
    <t>010-1234-6727</t>
  </si>
  <si>
    <t>010-1234-6728</t>
  </si>
  <si>
    <t>010-1234-6729</t>
  </si>
  <si>
    <t>010-1234-6730</t>
  </si>
  <si>
    <t>010-1234-6731</t>
  </si>
  <si>
    <t>010-1234-6732</t>
  </si>
  <si>
    <t>010-1234-6733</t>
  </si>
  <si>
    <t>010-1234-6734</t>
  </si>
  <si>
    <t>010-1234-6735</t>
  </si>
  <si>
    <t>010-1234-6736</t>
  </si>
  <si>
    <t>010-1234-6737</t>
  </si>
  <si>
    <t>010-1234-6738</t>
  </si>
  <si>
    <t>010-1234-6739</t>
  </si>
  <si>
    <t>010-1234-6740</t>
  </si>
  <si>
    <t>010-1234-6741</t>
  </si>
  <si>
    <t>010-1234-6742</t>
  </si>
  <si>
    <t>010-1234-6743</t>
  </si>
  <si>
    <t>010-1234-6744</t>
  </si>
  <si>
    <t>010-1234-6745</t>
  </si>
  <si>
    <t>010-1234-6746</t>
  </si>
  <si>
    <t>010-1234-6747</t>
  </si>
  <si>
    <t>010-1234-6748</t>
  </si>
  <si>
    <t>010-1234-6749</t>
  </si>
  <si>
    <t>010-1234-6750</t>
  </si>
  <si>
    <t>010-1234-6751</t>
  </si>
  <si>
    <t>010-1234-6752</t>
  </si>
  <si>
    <t>010-1234-6753</t>
  </si>
  <si>
    <t>010-1234-6754</t>
  </si>
  <si>
    <t>010-1234-6755</t>
  </si>
  <si>
    <t>010-1234-6756</t>
  </si>
  <si>
    <t>010-1234-6757</t>
  </si>
  <si>
    <t>010-1234-6758</t>
  </si>
  <si>
    <t>010-1234-6759</t>
  </si>
  <si>
    <t>010-1234-6760</t>
  </si>
  <si>
    <t>010-1234-6761</t>
  </si>
  <si>
    <t>010-1234-6762</t>
  </si>
  <si>
    <t>010-1234-6763</t>
  </si>
  <si>
    <t>010-1234-6764</t>
  </si>
  <si>
    <t>010-1234-6765</t>
  </si>
  <si>
    <t>010-1234-6766</t>
  </si>
  <si>
    <t>010-1234-6767</t>
  </si>
  <si>
    <t>010-1234-6768</t>
  </si>
  <si>
    <t>010-1234-6769</t>
  </si>
  <si>
    <t>010-1234-6770</t>
  </si>
  <si>
    <t>010-1234-6771</t>
  </si>
  <si>
    <t>010-1234-6772</t>
  </si>
  <si>
    <t>010-1234-6773</t>
  </si>
  <si>
    <t>010-1234-6774</t>
  </si>
  <si>
    <t>010-1234-6775</t>
  </si>
  <si>
    <t>010-1234-6776</t>
  </si>
  <si>
    <t>010-1234-6777</t>
  </si>
  <si>
    <t>010-1234-6778</t>
  </si>
  <si>
    <t>010-1234-6779</t>
  </si>
  <si>
    <t>010-1234-6780</t>
  </si>
  <si>
    <t>010-1234-6781</t>
  </si>
  <si>
    <t>010-1234-6782</t>
  </si>
  <si>
    <t>010-1234-6783</t>
  </si>
  <si>
    <t>010-1234-6784</t>
  </si>
  <si>
    <t>010-1234-6785</t>
  </si>
  <si>
    <t>010-1234-6786</t>
  </si>
  <si>
    <t>010-1234-6787</t>
  </si>
  <si>
    <t>010-1234-6788</t>
  </si>
  <si>
    <t>010-1234-6789</t>
  </si>
  <si>
    <t>010-1234-6790</t>
  </si>
  <si>
    <t>010-1234-6791</t>
  </si>
  <si>
    <t>010-1234-6792</t>
  </si>
  <si>
    <t>010-1234-6793</t>
  </si>
  <si>
    <t>010-1234-6794</t>
  </si>
  <si>
    <t>010-1234-6795</t>
  </si>
  <si>
    <t>010-1234-6796</t>
  </si>
  <si>
    <t>010-1234-6797</t>
  </si>
  <si>
    <t>010-1234-6798</t>
  </si>
  <si>
    <t>010-1234-6799</t>
  </si>
  <si>
    <t>010-1234-6800</t>
  </si>
  <si>
    <t>010-1234-6801</t>
  </si>
  <si>
    <t>010-1234-6802</t>
  </si>
  <si>
    <t>010-1234-6803</t>
  </si>
  <si>
    <t>010-1234-6804</t>
  </si>
  <si>
    <t>010-1234-6805</t>
  </si>
  <si>
    <t>010-1234-6806</t>
  </si>
  <si>
    <t>010-1234-6807</t>
  </si>
  <si>
    <t>010-1234-6808</t>
  </si>
  <si>
    <t>010-1234-6809</t>
  </si>
  <si>
    <t>010-1234-6810</t>
  </si>
  <si>
    <t>010-1234-6811</t>
  </si>
  <si>
    <t>010-1234-6812</t>
  </si>
  <si>
    <t>010-1234-6813</t>
  </si>
  <si>
    <t>010-1234-6814</t>
  </si>
  <si>
    <t>010-1234-6815</t>
  </si>
  <si>
    <t>010-1234-6816</t>
  </si>
  <si>
    <t>010-1234-6817</t>
  </si>
  <si>
    <t>010-1234-6818</t>
  </si>
  <si>
    <t>010-1234-6819</t>
  </si>
  <si>
    <t>010-1234-6820</t>
  </si>
  <si>
    <t>010-1234-6821</t>
  </si>
  <si>
    <t>010-1234-6822</t>
  </si>
  <si>
    <t>010-1234-6823</t>
  </si>
  <si>
    <t>010-1234-6824</t>
  </si>
  <si>
    <t>010-1234-6825</t>
  </si>
  <si>
    <t>010-1234-6826</t>
  </si>
  <si>
    <t>010-1234-6827</t>
  </si>
  <si>
    <t>010-1234-6828</t>
  </si>
  <si>
    <t>010-1234-6829</t>
  </si>
  <si>
    <t>010-1234-6830</t>
  </si>
  <si>
    <t>010-1234-6831</t>
  </si>
  <si>
    <t>010-1234-6832</t>
  </si>
  <si>
    <t>010-1234-6833</t>
  </si>
  <si>
    <t>010-1234-6834</t>
  </si>
  <si>
    <t>010-1234-6835</t>
  </si>
  <si>
    <t>010-1234-6836</t>
  </si>
  <si>
    <t>010-1234-6837</t>
  </si>
  <si>
    <t>010-1234-6838</t>
  </si>
  <si>
    <t>010-1234-6839</t>
  </si>
  <si>
    <t>010-1234-6840</t>
  </si>
  <si>
    <t>010-1234-6841</t>
  </si>
  <si>
    <t>010-1234-6842</t>
  </si>
  <si>
    <t>010-1234-6843</t>
  </si>
  <si>
    <t>010-1234-6844</t>
  </si>
  <si>
    <t>010-1234-6845</t>
  </si>
  <si>
    <t>010-1234-6846</t>
  </si>
  <si>
    <t>010-1234-6847</t>
  </si>
  <si>
    <t>010-1234-6848</t>
  </si>
  <si>
    <t>010-1234-6849</t>
  </si>
  <si>
    <t>010-1234-6850</t>
  </si>
  <si>
    <t>010-1234-6851</t>
  </si>
  <si>
    <t>010-1234-6852</t>
  </si>
  <si>
    <t>010-1234-6853</t>
  </si>
  <si>
    <t>010-1234-6854</t>
  </si>
  <si>
    <t>010-1234-6855</t>
  </si>
  <si>
    <t>010-1234-6856</t>
  </si>
  <si>
    <t>010-1234-6857</t>
  </si>
  <si>
    <t>010-1234-6858</t>
  </si>
  <si>
    <t>010-1234-6859</t>
  </si>
  <si>
    <t>010-1234-6860</t>
  </si>
  <si>
    <t>010-1234-6861</t>
  </si>
  <si>
    <t>010-1234-6862</t>
  </si>
  <si>
    <t>010-1234-6863</t>
  </si>
  <si>
    <t>010-1234-6864</t>
  </si>
  <si>
    <t>010-1234-6865</t>
  </si>
  <si>
    <t>010-1234-6866</t>
  </si>
  <si>
    <t>010-1234-6867</t>
  </si>
  <si>
    <t>010-1234-6868</t>
  </si>
  <si>
    <t>010-1234-6869</t>
  </si>
  <si>
    <t>010-1234-6870</t>
  </si>
  <si>
    <t>010-1234-6871</t>
  </si>
  <si>
    <t>010-1234-6872</t>
  </si>
  <si>
    <t>010-1234-6873</t>
  </si>
  <si>
    <t>010-1234-6874</t>
  </si>
  <si>
    <t>010-1234-6875</t>
  </si>
  <si>
    <t>010-1234-6876</t>
  </si>
  <si>
    <t>010-1234-6877</t>
  </si>
  <si>
    <t>010-1234-6878</t>
  </si>
  <si>
    <t>010-1234-6879</t>
  </si>
  <si>
    <t>010-1234-6880</t>
  </si>
  <si>
    <t>010-1234-6881</t>
  </si>
  <si>
    <t>010-1234-6882</t>
  </si>
  <si>
    <t>010-1234-6883</t>
  </si>
  <si>
    <t>010-1234-6884</t>
  </si>
  <si>
    <t>010-1234-6885</t>
  </si>
  <si>
    <t>010-1234-6886</t>
  </si>
  <si>
    <t>010-1234-6887</t>
  </si>
  <si>
    <t>010-1234-6888</t>
  </si>
  <si>
    <t>010-1234-6889</t>
  </si>
  <si>
    <t>010-1234-6890</t>
  </si>
  <si>
    <t>010-1234-6891</t>
  </si>
  <si>
    <t>010-1234-6892</t>
  </si>
  <si>
    <t>010-1234-6893</t>
  </si>
  <si>
    <t>010-1234-6894</t>
  </si>
  <si>
    <t>010-1234-6895</t>
  </si>
  <si>
    <t>010-1234-6896</t>
  </si>
  <si>
    <t>010-1234-6897</t>
  </si>
  <si>
    <t>010-1234-6898</t>
  </si>
  <si>
    <t>010-1234-6899</t>
  </si>
  <si>
    <t>010-1234-6900</t>
  </si>
  <si>
    <t>010-1234-6901</t>
  </si>
  <si>
    <t>010-1234-6902</t>
  </si>
  <si>
    <t>010-1234-6903</t>
  </si>
  <si>
    <t>010-1234-6904</t>
  </si>
  <si>
    <t>010-1234-6905</t>
  </si>
  <si>
    <t>010-1234-6906</t>
  </si>
  <si>
    <t>010-1234-6907</t>
  </si>
  <si>
    <t>010-1234-6908</t>
  </si>
  <si>
    <t>010-1234-6909</t>
  </si>
  <si>
    <t>010-1234-6910</t>
  </si>
  <si>
    <t>010-1234-6911</t>
  </si>
  <si>
    <t>010-1234-6912</t>
  </si>
  <si>
    <t>010-1234-6913</t>
  </si>
  <si>
    <t>010-1234-6914</t>
  </si>
  <si>
    <t>010-1234-6915</t>
  </si>
  <si>
    <t>010-1234-6916</t>
  </si>
  <si>
    <t>010-1234-6917</t>
  </si>
  <si>
    <t>010-1234-6918</t>
  </si>
  <si>
    <t>010-1234-6919</t>
  </si>
  <si>
    <t>010-1234-6920</t>
  </si>
  <si>
    <t>010-1234-6921</t>
  </si>
  <si>
    <t>010-1234-6922</t>
  </si>
  <si>
    <t>010-1234-6923</t>
  </si>
  <si>
    <t>010-1234-6924</t>
  </si>
  <si>
    <t>010-1234-6925</t>
  </si>
  <si>
    <t>010-1234-6926</t>
  </si>
  <si>
    <t>010-1234-6927</t>
  </si>
  <si>
    <t>010-1234-6928</t>
  </si>
  <si>
    <t>010-1234-6929</t>
  </si>
  <si>
    <t>010-1234-6930</t>
  </si>
  <si>
    <t>010-1234-6931</t>
  </si>
  <si>
    <t>010-1234-6932</t>
  </si>
  <si>
    <t>010-1234-6933</t>
  </si>
  <si>
    <t>010-1234-6934</t>
  </si>
  <si>
    <t>010-1234-6935</t>
  </si>
  <si>
    <t>010-1234-6936</t>
  </si>
  <si>
    <t>010-1234-6937</t>
  </si>
  <si>
    <t>010-1234-6938</t>
  </si>
  <si>
    <t>010-1234-6939</t>
  </si>
  <si>
    <t>010-1234-6940</t>
  </si>
  <si>
    <t>010-1234-6941</t>
  </si>
  <si>
    <t>010-1234-6942</t>
  </si>
  <si>
    <t>010-1234-6943</t>
  </si>
  <si>
    <t>010-1234-6944</t>
  </si>
  <si>
    <t>010-1234-6945</t>
  </si>
  <si>
    <t>010-1234-6946</t>
  </si>
  <si>
    <t>010-1234-6947</t>
  </si>
  <si>
    <t>010-1234-6948</t>
  </si>
  <si>
    <t>010-1234-6949</t>
  </si>
  <si>
    <t>010-1234-6950</t>
  </si>
  <si>
    <t>회사명</t>
    <phoneticPr fontId="0" type="noConversion"/>
  </si>
  <si>
    <t>성명</t>
  </si>
  <si>
    <t>자택주소</t>
    <phoneticPr fontId="0" type="noConversion"/>
  </si>
  <si>
    <t>휴대폰번호</t>
    <phoneticPr fontId="0" type="noConversion"/>
  </si>
  <si>
    <t>회사주소</t>
    <phoneticPr fontId="0" type="noConversion"/>
  </si>
  <si>
    <t>회사전화번호</t>
    <phoneticPr fontId="0" type="noConversion"/>
  </si>
  <si>
    <t>(주)석수와퓨리스</t>
  </si>
  <si>
    <t>강균성</t>
    <phoneticPr fontId="0" type="noConversion"/>
  </si>
  <si>
    <t>경기도 고양시 일산서구 주엽2동 19</t>
    <phoneticPr fontId="0" type="noConversion"/>
  </si>
  <si>
    <t>010-3428-4344</t>
  </si>
  <si>
    <t>서울시 종로구 관철동 258 구몬빌딩 10층</t>
  </si>
  <si>
    <t>054-9199-1306</t>
  </si>
  <si>
    <t>(주)대화유통</t>
  </si>
  <si>
    <t>강미경</t>
    <phoneticPr fontId="0" type="noConversion"/>
  </si>
  <si>
    <t>서울시 서초구 염곡동 234-12</t>
  </si>
  <si>
    <t>010-2290-1894</t>
  </si>
  <si>
    <t>경기도 평택시 고덕면 율포리 539-5</t>
  </si>
  <si>
    <t>051-4610-9221</t>
  </si>
  <si>
    <t>(주)생생식품유통</t>
  </si>
  <si>
    <t>강민도</t>
    <phoneticPr fontId="0" type="noConversion"/>
  </si>
  <si>
    <t>경기도 하남시 신장1동 42-38 SU빌라 75호</t>
  </si>
  <si>
    <t>010-4768-8192</t>
  </si>
  <si>
    <t>서울시 서초구 서초2동 1376-1</t>
  </si>
  <si>
    <t>051-4771-8571</t>
  </si>
  <si>
    <t>(주)강산베어스</t>
  </si>
  <si>
    <t>고경희</t>
    <phoneticPr fontId="0" type="noConversion"/>
  </si>
  <si>
    <t>서울시 중랑구 면목7동 6413</t>
  </si>
  <si>
    <t>010-3552-5749</t>
  </si>
  <si>
    <t>서울시 동대문구 신설동 96-48 대상빌딩</t>
  </si>
  <si>
    <t>032-4143-4094</t>
  </si>
  <si>
    <t>(주)PS스포츠</t>
  </si>
  <si>
    <t>구선옥</t>
    <phoneticPr fontId="0" type="noConversion"/>
  </si>
  <si>
    <t>서울시 영등포구 당산2동 87</t>
    <phoneticPr fontId="0" type="noConversion"/>
  </si>
  <si>
    <t>010-2830-3317</t>
  </si>
  <si>
    <t>서울시 중구 신당동 171</t>
  </si>
  <si>
    <t>02-2836-3640</t>
  </si>
  <si>
    <t>(주)싸이버스카이</t>
  </si>
  <si>
    <t>구유정</t>
    <phoneticPr fontId="0" type="noConversion"/>
  </si>
  <si>
    <t>서울시 서초구 잠원동 15720</t>
    <phoneticPr fontId="0" type="noConversion"/>
  </si>
  <si>
    <t>010-8516-9570</t>
  </si>
  <si>
    <t xml:space="preserve">서울 용산구 한강로3가 40-1 철도회관 6 </t>
  </si>
  <si>
    <t>051-1611-3683</t>
  </si>
  <si>
    <t>(주)산뜻페인트</t>
  </si>
  <si>
    <t>권민정</t>
  </si>
  <si>
    <t>서울시 용산구 우산단로 4</t>
  </si>
  <si>
    <t>010-6620-9356</t>
  </si>
  <si>
    <t>서울 송파구 문정동 70-5</t>
  </si>
  <si>
    <t>051-3609-2149</t>
  </si>
  <si>
    <t>(주)신라건설</t>
  </si>
  <si>
    <t>김경락</t>
  </si>
  <si>
    <t>서울시 중구 장충동2가 1995</t>
  </si>
  <si>
    <t>010-2763-4079</t>
  </si>
  <si>
    <t>서울 종로구 신문로1가 57 금호빌딩 16층</t>
  </si>
  <si>
    <t>051-9494-7107</t>
    <phoneticPr fontId="0" type="noConversion"/>
  </si>
  <si>
    <t>(주)삼홍사</t>
  </si>
  <si>
    <t>김기란</t>
    <phoneticPr fontId="0" type="noConversion"/>
  </si>
  <si>
    <t>서울시 강남구 삼성동 강남빌라 3-3</t>
    <phoneticPr fontId="0" type="noConversion"/>
  </si>
  <si>
    <t>010-5682-2036</t>
  </si>
  <si>
    <t>서울시 용산구 한강로 3가 40-134</t>
  </si>
  <si>
    <t>051-1113-8209</t>
    <phoneticPr fontId="0" type="noConversion"/>
  </si>
  <si>
    <t>(주)미광이티씨</t>
  </si>
  <si>
    <t>김대식</t>
    <phoneticPr fontId="0" type="noConversion"/>
  </si>
  <si>
    <t>서울시 광진구 구의동 강변B 24호</t>
    <phoneticPr fontId="0" type="noConversion"/>
  </si>
  <si>
    <t>010-4804-2419</t>
  </si>
  <si>
    <t xml:space="preserve">서울 중구 소공동 51 해운센타빌딩 신관  </t>
  </si>
  <si>
    <t>051-7536-7307</t>
  </si>
  <si>
    <t>(주)드림익스프레스</t>
  </si>
  <si>
    <t>김미선</t>
    <phoneticPr fontId="0" type="noConversion"/>
  </si>
  <si>
    <t>서울시 종로구 동숭4가길 동숭상가 B동 138</t>
    <phoneticPr fontId="0" type="noConversion"/>
  </si>
  <si>
    <t>010-7976-9145</t>
  </si>
  <si>
    <t>경기도 안양시 만안구 박달동 615</t>
  </si>
  <si>
    <t>051-3592-2818</t>
  </si>
  <si>
    <t>㈜세일백화점</t>
  </si>
  <si>
    <t>김민호</t>
    <phoneticPr fontId="0" type="noConversion"/>
  </si>
  <si>
    <t>서울시 중구 중림동 200 27</t>
  </si>
  <si>
    <t>010-4485-7423</t>
  </si>
  <si>
    <t>서울특별시 금천구 시흥3동 985-26</t>
  </si>
  <si>
    <t>031-7423-7999</t>
  </si>
  <si>
    <t>(주)백두</t>
  </si>
  <si>
    <t>김보성</t>
    <phoneticPr fontId="0" type="noConversion"/>
  </si>
  <si>
    <t>서울시 성동구 옥수동 4557</t>
  </si>
  <si>
    <t>010-4304-9766</t>
  </si>
  <si>
    <t xml:space="preserve">서울 노원구 월계동 447-1번지 광운대학교 </t>
  </si>
  <si>
    <t>051-1101-5993</t>
  </si>
  <si>
    <t>(주)TUME에프엠하우스</t>
  </si>
  <si>
    <t>김선례</t>
    <phoneticPr fontId="0" type="noConversion"/>
  </si>
  <si>
    <t>서울시 도봉구 도봉2동 3066</t>
  </si>
  <si>
    <t>010-5490-7930</t>
  </si>
  <si>
    <t>서울시 송파구 잠실동 40-1</t>
  </si>
  <si>
    <t>02-3167-5914</t>
  </si>
  <si>
    <t>(주)TUME네트웍스</t>
  </si>
  <si>
    <t>김선희</t>
    <phoneticPr fontId="0" type="noConversion"/>
  </si>
  <si>
    <t>서울시 도봉구 마들로 859-19, 1</t>
  </si>
  <si>
    <t>010-8435-8389</t>
  </si>
  <si>
    <t>서울시 은평구 응암동 594-36</t>
  </si>
  <si>
    <t>031-9026-9639</t>
  </si>
  <si>
    <t>(주)서북</t>
  </si>
  <si>
    <t>김승철</t>
  </si>
  <si>
    <t>경기 부천 원미 하동 2000</t>
  </si>
  <si>
    <t>010-6417-7232</t>
  </si>
  <si>
    <t xml:space="preserve">서울시 강남구 역삼동 701번지 </t>
    <phoneticPr fontId="1" type="noConversion"/>
  </si>
  <si>
    <t>051-8059-3674</t>
    <phoneticPr fontId="0" type="noConversion"/>
  </si>
  <si>
    <t>(주)새턴바스</t>
  </si>
  <si>
    <t>김시내</t>
    <phoneticPr fontId="0" type="noConversion"/>
  </si>
  <si>
    <t>경기도 용인시 기흥구 동백동 33</t>
    <phoneticPr fontId="0" type="noConversion"/>
  </si>
  <si>
    <t>010-8312-3394</t>
  </si>
  <si>
    <t>경기도 하남시 하산곡동 63-3</t>
  </si>
  <si>
    <t>051-9036-7853</t>
  </si>
  <si>
    <t>(주)신일씨엠</t>
  </si>
  <si>
    <t>김영립</t>
  </si>
  <si>
    <t>서울시 은평구 증산동 1357</t>
  </si>
  <si>
    <t>010-4069-3724</t>
  </si>
  <si>
    <t>경기도 안산시 단원구 원시동 734 B5-6</t>
  </si>
  <si>
    <t>051-2049-9143</t>
  </si>
  <si>
    <t>(주)백두텔레콤</t>
  </si>
  <si>
    <t>김우리</t>
    <phoneticPr fontId="0" type="noConversion"/>
  </si>
  <si>
    <t>서울시 송파구 석촌동 17-76</t>
  </si>
  <si>
    <t>010-0693-7873</t>
  </si>
  <si>
    <t>경기도 부천시 오정구 내동 272-1</t>
  </si>
  <si>
    <t>053-6519-8036</t>
  </si>
  <si>
    <t>(주)백두기공</t>
  </si>
  <si>
    <t>김은정</t>
    <phoneticPr fontId="0" type="noConversion"/>
  </si>
  <si>
    <t>서울시 중구 장충동1가 5062</t>
    <phoneticPr fontId="0" type="noConversion"/>
  </si>
  <si>
    <t>010-5658-4073</t>
  </si>
  <si>
    <t>인천 서구 가좌동 552-26   </t>
  </si>
  <si>
    <t>051-1956-1514</t>
  </si>
  <si>
    <t>(주)TUME프리텔</t>
  </si>
  <si>
    <t>김익겸</t>
    <phoneticPr fontId="0" type="noConversion"/>
  </si>
  <si>
    <t>서울시 송파 목동 문정래미안A 9000</t>
  </si>
  <si>
    <t>010-8575-8233</t>
  </si>
  <si>
    <t xml:space="preserve">서울 영등포구 여의도동 60 대한생명 63빌딩 대한생명보험주식회사 </t>
  </si>
  <si>
    <t>02-9857-8392</t>
  </si>
  <si>
    <t>(주)대화</t>
  </si>
  <si>
    <t>김재도</t>
    <phoneticPr fontId="0" type="noConversion"/>
  </si>
  <si>
    <t>인천시 문학동 옥신2차A  70555</t>
  </si>
  <si>
    <t>010-1543-9528</t>
  </si>
  <si>
    <t>서울시 강남구 삼성동 159-1 아셈타워 8층</t>
  </si>
  <si>
    <t>031-7650-5695</t>
  </si>
  <si>
    <t>(주)신라에스티</t>
  </si>
  <si>
    <t>김정은</t>
  </si>
  <si>
    <t>서울시 영등포구 당산동 대우사랑 10-207</t>
  </si>
  <si>
    <t>010-4081-7157</t>
  </si>
  <si>
    <t>서울시 동대문구 청량리 2동 207-3</t>
  </si>
  <si>
    <t>051-4442-9022</t>
  </si>
  <si>
    <t>(사)청소년바른연맹</t>
  </si>
  <si>
    <t>김태근</t>
    <phoneticPr fontId="0" type="noConversion"/>
  </si>
  <si>
    <t>서울시 충무로1가 세계상가 96</t>
    <phoneticPr fontId="0" type="noConversion"/>
  </si>
  <si>
    <t>010-9607-4292</t>
  </si>
  <si>
    <t>서울 용산구 원효로4가 113-25</t>
  </si>
  <si>
    <t>031-2689-4168</t>
  </si>
  <si>
    <t>(주)반짝가구</t>
  </si>
  <si>
    <t>김태형</t>
    <phoneticPr fontId="0" type="noConversion"/>
  </si>
  <si>
    <t>서울시 종로구 평창동 41257</t>
  </si>
  <si>
    <t>010-3511-3414</t>
  </si>
  <si>
    <t>서울시 동대문구 용두동 252번지</t>
  </si>
  <si>
    <t>051-5599-3723</t>
  </si>
  <si>
    <t>(주)NEOPLUS</t>
  </si>
  <si>
    <t>김태훈</t>
    <phoneticPr fontId="0" type="noConversion"/>
  </si>
  <si>
    <t>서울시 관악구 봉천동 88931</t>
  </si>
  <si>
    <t>010-7613-7652</t>
  </si>
  <si>
    <t>서울 서초구 잠원동 50-2</t>
  </si>
  <si>
    <t>031-8424-2568</t>
  </si>
  <si>
    <t>(주)강산</t>
  </si>
  <si>
    <t>김한도</t>
    <phoneticPr fontId="0" type="noConversion"/>
  </si>
  <si>
    <t>서울시 영등포구 양평동4가 82</t>
  </si>
  <si>
    <t>010-6068-5199</t>
  </si>
  <si>
    <t>서울 영등포구 여의도동 20 LG트윈타워</t>
  </si>
  <si>
    <t>02-8116-7692</t>
  </si>
  <si>
    <t>(사)한국재활용협회</t>
  </si>
  <si>
    <t>김한수</t>
    <phoneticPr fontId="0" type="noConversion"/>
  </si>
  <si>
    <t>서울시 성동구 옥수동 12-1</t>
    <phoneticPr fontId="0" type="noConversion"/>
  </si>
  <si>
    <t>010-6401-4844</t>
  </si>
  <si>
    <t>서울 서초구 서초3동 1549-8 데코빌딩</t>
  </si>
  <si>
    <t>031-2192-7630</t>
  </si>
  <si>
    <t>(주)미영기술</t>
  </si>
  <si>
    <t>김현우</t>
    <phoneticPr fontId="0" type="noConversion"/>
  </si>
  <si>
    <t>서울시 성북구 하월곡동 220</t>
    <phoneticPr fontId="0" type="noConversion"/>
  </si>
  <si>
    <t>010-5736-2392</t>
  </si>
  <si>
    <t>서울시 영등포구 여의도동 27-2 번지</t>
  </si>
  <si>
    <t>051-4682-9925</t>
  </si>
  <si>
    <t>(주)백두상사</t>
  </si>
  <si>
    <t>김혜경</t>
    <phoneticPr fontId="0" type="noConversion"/>
  </si>
  <si>
    <t>서울시 중구 회현동1가 2043</t>
  </si>
  <si>
    <t>010-0560-3476</t>
  </si>
  <si>
    <t>서울특별시 강서구 화곡6동 1103-6 3층</t>
  </si>
  <si>
    <t>051-9893-1895</t>
  </si>
  <si>
    <t>(주)PKG아이넷</t>
  </si>
  <si>
    <t>김희숙</t>
    <phoneticPr fontId="0" type="noConversion"/>
  </si>
  <si>
    <t>서울시 강북 수유동 현대A 1900</t>
  </si>
  <si>
    <t>010-9315-7429</t>
  </si>
  <si>
    <t>서울 중구 소공동 87-10</t>
  </si>
  <si>
    <t>031-9176-6099</t>
  </si>
  <si>
    <t>(주)서북상호저축은행</t>
  </si>
  <si>
    <t>남궁현</t>
  </si>
  <si>
    <t>경기도 남양주시 화도읍 묵현로 양현4길 묵양빌딩 503</t>
  </si>
  <si>
    <t>010-7237-1547</t>
  </si>
  <si>
    <t>서울시 종로구 신문로1가 57 금호사옥빌딩</t>
  </si>
  <si>
    <t>051-8624-8495</t>
  </si>
  <si>
    <t>(재)행복추진진흥회</t>
  </si>
  <si>
    <t>도주철</t>
    <phoneticPr fontId="0" type="noConversion"/>
  </si>
  <si>
    <t>서울시 금천구 독산2동 209</t>
  </si>
  <si>
    <t>010-0813-3713</t>
  </si>
  <si>
    <t xml:space="preserve">서울 강남구 대치4동 891-10 동부금융센터 </t>
  </si>
  <si>
    <t>0314874-6525</t>
  </si>
  <si>
    <t>(주)백두경영개발원</t>
  </si>
  <si>
    <t>류태규</t>
    <phoneticPr fontId="0" type="noConversion"/>
  </si>
  <si>
    <t>서울시 마포구 연남동 2400</t>
  </si>
  <si>
    <t>010-9981-8291</t>
  </si>
  <si>
    <t>서울시 서초구 양재동 70-3</t>
  </si>
  <si>
    <t>051-4962-6660</t>
  </si>
  <si>
    <t>(주)그린라인</t>
  </si>
  <si>
    <t>박명희</t>
    <phoneticPr fontId="0" type="noConversion"/>
  </si>
  <si>
    <t>서울시 도봉구 창1동 8000</t>
  </si>
  <si>
    <t>010-6877-8391</t>
  </si>
  <si>
    <t>서울시 영등포구 여의도동 17-1 금산빌딩 9층</t>
  </si>
  <si>
    <t>02-4551-8025</t>
    <phoneticPr fontId="0" type="noConversion"/>
  </si>
  <si>
    <t>(주)스마트로</t>
  </si>
  <si>
    <t>박미성</t>
  </si>
  <si>
    <t>서울시 송파구 서서학동 영창A 1000</t>
  </si>
  <si>
    <t>010-5421-1622</t>
  </si>
  <si>
    <t>서울 영등포구 여의도동 36-5 동부증권빌딩</t>
  </si>
  <si>
    <t>054-4425-6686</t>
  </si>
  <si>
    <t>(주)씨에스리더</t>
  </si>
  <si>
    <t>박상애</t>
  </si>
  <si>
    <t>서울시 은평구 진관4로 77, 70</t>
  </si>
  <si>
    <t>010-0741-4149</t>
  </si>
  <si>
    <t xml:space="preserve">서울 중구 을지로4가 310-68 삼풍빌딩 8 </t>
  </si>
  <si>
    <t>051-3628-6830</t>
  </si>
  <si>
    <t>(주)싸이더스에프앤에</t>
  </si>
  <si>
    <t>박순영</t>
  </si>
  <si>
    <t>서울 강서구 등촌2동 57157</t>
  </si>
  <si>
    <t>010-1107-4482</t>
  </si>
  <si>
    <t>서울 용산구 청파동3가 83-2</t>
  </si>
  <si>
    <t>051-8409-3613</t>
    <phoneticPr fontId="0" type="noConversion"/>
  </si>
  <si>
    <t>(주)서북월드</t>
  </si>
  <si>
    <t>박인정</t>
  </si>
  <si>
    <t>경기 하남 창우 22222번지 12/70</t>
  </si>
  <si>
    <t>010-1319-1837</t>
  </si>
  <si>
    <t>서울시 용산구 동자동 12</t>
  </si>
  <si>
    <t>051-6595-2694</t>
  </si>
  <si>
    <t>(주)PKG앤홀딩스</t>
  </si>
  <si>
    <t>박재득</t>
    <phoneticPr fontId="0" type="noConversion"/>
  </si>
  <si>
    <t>서울시 성북구 길음2동 101-03호</t>
  </si>
  <si>
    <t>010-4175-9955</t>
  </si>
  <si>
    <t>서울 강남구 청담2동 99-19</t>
  </si>
  <si>
    <t>031-6461-4530</t>
  </si>
  <si>
    <t>(주)PKG에스앤에프</t>
  </si>
  <si>
    <t>박정아</t>
    <phoneticPr fontId="0" type="noConversion"/>
  </si>
  <si>
    <t>서울시 도봉구 쌍문2동 ABC빌딩 11</t>
    <phoneticPr fontId="0" type="noConversion"/>
  </si>
  <si>
    <t>010-6425-2941</t>
  </si>
  <si>
    <t>경기 군포시 금정동 166   </t>
  </si>
  <si>
    <t>031-7690-5036</t>
  </si>
  <si>
    <t>(주)승산</t>
  </si>
  <si>
    <t>박현민</t>
  </si>
  <si>
    <t>서울시 중구 명동2가 2000</t>
    <phoneticPr fontId="0" type="noConversion"/>
  </si>
  <si>
    <t>010-1022-1630</t>
  </si>
  <si>
    <t>경기 성남시 분당구 서현동 250-2</t>
  </si>
  <si>
    <t>054-8902-7358</t>
  </si>
  <si>
    <t>(주)서울음반</t>
  </si>
  <si>
    <t>서정현</t>
  </si>
  <si>
    <t>서울시 종로구 송천동2가 현대3차A 310</t>
  </si>
  <si>
    <t>010-1735-5896</t>
  </si>
  <si>
    <t xml:space="preserve">서울시 마포구 공덕동 254-8 </t>
  </si>
  <si>
    <t>051-2026-2167</t>
  </si>
  <si>
    <t>(주)TUME</t>
  </si>
  <si>
    <t>송마리</t>
    <phoneticPr fontId="0" type="noConversion"/>
  </si>
  <si>
    <t>서울시 용산구 용산동2가 2221 3층</t>
  </si>
  <si>
    <t>010-5721-7080</t>
  </si>
  <si>
    <t>경기도 부천시 원미구 도당동 272-15</t>
  </si>
  <si>
    <t>031-7961-4512</t>
  </si>
  <si>
    <t>(주)무궁화</t>
  </si>
  <si>
    <t>신정수</t>
    <phoneticPr fontId="0" type="noConversion"/>
  </si>
  <si>
    <t>경기 고양 덕양 화정동 삼양A 10222</t>
  </si>
  <si>
    <t>010-6491-4065</t>
  </si>
  <si>
    <t>서울 중구 을지로6가 18-12 두산타워빌딩 31층</t>
  </si>
  <si>
    <t>054-3872-6358</t>
    <phoneticPr fontId="0" type="noConversion"/>
  </si>
  <si>
    <t>(주)랜드마크아시아</t>
  </si>
  <si>
    <t>심규종</t>
    <phoneticPr fontId="0" type="noConversion"/>
  </si>
  <si>
    <t>인천광역시 계양구 길마로 83, 20</t>
  </si>
  <si>
    <t>010-0272-1458</t>
  </si>
  <si>
    <t>경기도 군포시 금정동 692-8</t>
  </si>
  <si>
    <t>055-2853-3061</t>
  </si>
  <si>
    <t>(주)삼진엘앤디</t>
  </si>
  <si>
    <t>심수석</t>
  </si>
  <si>
    <t>서울시 영등포구 문래동 6가 987-99</t>
  </si>
  <si>
    <t>010-5742-4767</t>
  </si>
  <si>
    <t>서울 강남구 역삼1동 824 역삼빌딩 11층</t>
  </si>
  <si>
    <t>051-8905-8880</t>
  </si>
  <si>
    <t>㈜페.케이.씨</t>
  </si>
  <si>
    <t>심정주</t>
    <phoneticPr fontId="0" type="noConversion"/>
  </si>
  <si>
    <t>서울시 중구 회현동1가 14</t>
    <phoneticPr fontId="0" type="noConversion"/>
  </si>
  <si>
    <t>010-9791-3681</t>
  </si>
  <si>
    <t>서울 강서구 공항동 1370 대한항공</t>
  </si>
  <si>
    <t>051-3292-2018</t>
  </si>
  <si>
    <t>(주)PS왓슨스</t>
  </si>
  <si>
    <t>안소현</t>
    <phoneticPr fontId="0" type="noConversion"/>
  </si>
  <si>
    <t>서울시 마포구 공덕동 2333</t>
  </si>
  <si>
    <t>010-3006-2735</t>
  </si>
  <si>
    <t>서울시 성동구 성수1가2동 656-216</t>
  </si>
  <si>
    <t>031-6190-1895</t>
  </si>
  <si>
    <t>(주)PS리테일</t>
  </si>
  <si>
    <t>안재성</t>
    <phoneticPr fontId="0" type="noConversion"/>
  </si>
  <si>
    <t>서울시 관악구 신사동 46992</t>
  </si>
  <si>
    <t>010-3807-1539</t>
  </si>
  <si>
    <t>서울특별시 성북구 상월곡동 24-348 성북정보도서관 2층</t>
  </si>
  <si>
    <t>031-5525-9842</t>
  </si>
  <si>
    <t>(주)씨제이스포츠</t>
  </si>
  <si>
    <t>안철진</t>
  </si>
  <si>
    <t>서울시 강남구 삼성동 537</t>
    <phoneticPr fontId="0" type="noConversion"/>
  </si>
  <si>
    <t>010-7034-7853</t>
  </si>
  <si>
    <t>경기도 파주시 조리면 뇌조리 459-1</t>
  </si>
  <si>
    <t>051-5625-5926</t>
  </si>
  <si>
    <t>(주)TUME에프테크놀</t>
  </si>
  <si>
    <t>여선주</t>
    <phoneticPr fontId="0" type="noConversion"/>
  </si>
  <si>
    <t>서울시 금천구 시흥1동 99220</t>
    <phoneticPr fontId="0" type="noConversion"/>
  </si>
  <si>
    <t>010-0202-1690</t>
  </si>
  <si>
    <t>서울시 서초구 양재동 232</t>
  </si>
  <si>
    <t>02-8358-2442</t>
  </si>
  <si>
    <t>(재)대한중앙연구원</t>
  </si>
  <si>
    <t>여형구</t>
    <phoneticPr fontId="0" type="noConversion"/>
  </si>
  <si>
    <t>경기도 양주시 고암동 20-7400</t>
  </si>
  <si>
    <t>010-5581-6966</t>
  </si>
  <si>
    <t>서울특별시 서초구 양재동 230</t>
  </si>
  <si>
    <t>031-4627-2686</t>
  </si>
  <si>
    <t>(주)백두생활건강</t>
  </si>
  <si>
    <t>오수</t>
    <phoneticPr fontId="0" type="noConversion"/>
  </si>
  <si>
    <t>서울시 서초구 원지동 삼현아파트 11동 1호</t>
  </si>
  <si>
    <t>010-3994-4297</t>
  </si>
  <si>
    <t>053-5119-8914</t>
  </si>
  <si>
    <t>(주)TUME렌탈</t>
  </si>
  <si>
    <t>오수연</t>
    <phoneticPr fontId="0" type="noConversion"/>
  </si>
  <si>
    <t>서울시 중구 회현동1가 1431</t>
  </si>
  <si>
    <t>010-9591-9883</t>
  </si>
  <si>
    <t>서울시 종로구 종로2가 6 종로타워</t>
  </si>
  <si>
    <t>02-3467-3688</t>
    <phoneticPr fontId="0" type="noConversion"/>
  </si>
  <si>
    <t>(주)두리철강</t>
  </si>
  <si>
    <t>오아란</t>
    <phoneticPr fontId="0" type="noConversion"/>
  </si>
  <si>
    <t>서울시 서대문구 홍제동 6-39</t>
  </si>
  <si>
    <t>010-4145-5776</t>
  </si>
  <si>
    <t>경기도 군포시 산본동 1148 롯데@ 941-704</t>
  </si>
  <si>
    <t>051-8181-7740</t>
  </si>
  <si>
    <t>(주)백두생명과학</t>
  </si>
  <si>
    <t>오혁민</t>
    <phoneticPr fontId="0" type="noConversion"/>
  </si>
  <si>
    <t>서울시 성북구 돈암동 111</t>
    <phoneticPr fontId="0" type="noConversion"/>
  </si>
  <si>
    <t>010-5878-2224</t>
  </si>
  <si>
    <t>서울시 광진구 화양동 1번지</t>
  </si>
  <si>
    <t>053-6877-3802</t>
  </si>
  <si>
    <t>(주)드림스포즈</t>
  </si>
  <si>
    <t>우연호</t>
    <phoneticPr fontId="0" type="noConversion"/>
  </si>
  <si>
    <t>서울시 도봉구 창1동 45 19</t>
  </si>
  <si>
    <t>010-0852-5848</t>
  </si>
  <si>
    <t>서울시 영등포구 여의도동 15-23</t>
  </si>
  <si>
    <t>053-9627-2816</t>
  </si>
  <si>
    <t>(주)그린뱅크</t>
  </si>
  <si>
    <t>위성용</t>
  </si>
  <si>
    <t>대구광역시 남구 대명6동 18000</t>
  </si>
  <si>
    <t>010-5255-9882</t>
  </si>
  <si>
    <t>02-58450-8615</t>
  </si>
  <si>
    <t>(주)PS홀딩스</t>
  </si>
  <si>
    <t>유은희</t>
    <phoneticPr fontId="0" type="noConversion"/>
  </si>
  <si>
    <t>서울시 강남구 수서동 71215</t>
  </si>
  <si>
    <t>010-0713-8723</t>
  </si>
  <si>
    <t>서울 강남구 역삼1동 735-3 포스틸타워</t>
  </si>
  <si>
    <t>031-5696-7823</t>
  </si>
  <si>
    <t>(주)빌더스넷</t>
  </si>
  <si>
    <t>윤건</t>
    <phoneticPr fontId="0" type="noConversion"/>
  </si>
  <si>
    <t>서울시 중구 필동3가 28-2</t>
  </si>
  <si>
    <t>010-5172-6219</t>
  </si>
  <si>
    <t>경기 수원시 영통구 신동 401</t>
  </si>
  <si>
    <t>051-2392-6535</t>
  </si>
  <si>
    <t>(주)백두화학</t>
  </si>
  <si>
    <t>윤서진</t>
    <phoneticPr fontId="0" type="noConversion"/>
  </si>
  <si>
    <t>서울시 동대문구 삼천동6가 9000</t>
  </si>
  <si>
    <t>010-9480-2319</t>
  </si>
  <si>
    <t>서울시 강남구 역삼1동 837-26 삼일플라자빌딩</t>
  </si>
  <si>
    <t>053-2341-2825</t>
  </si>
  <si>
    <t>(주)PKG앤컴퍼니</t>
  </si>
  <si>
    <t>윤용상</t>
    <phoneticPr fontId="0" type="noConversion"/>
  </si>
  <si>
    <t>서울시 강남 논현 10002</t>
  </si>
  <si>
    <t>010-5253-4356</t>
  </si>
  <si>
    <t>서울시 중구 소공동 1번지 롯데쇼핑(주)</t>
  </si>
  <si>
    <t>031-2118-5479</t>
  </si>
  <si>
    <t>(주)PKG양행</t>
  </si>
  <si>
    <t>이길선</t>
    <phoneticPr fontId="0" type="noConversion"/>
  </si>
  <si>
    <t>성북구 돈암1동 범양아파트 4</t>
  </si>
  <si>
    <t>010-7758-6855</t>
  </si>
  <si>
    <t xml:space="preserve">서울 강남구 역삼2동 719-1 나래빌딩 13 </t>
  </si>
  <si>
    <t>031-7764-3595</t>
  </si>
  <si>
    <t>(주)TEC</t>
  </si>
  <si>
    <t>이덕영</t>
    <phoneticPr fontId="0" type="noConversion"/>
  </si>
  <si>
    <t>서울시 중구 회현동1가 화선A 4-607</t>
  </si>
  <si>
    <t>010-6108-7937</t>
  </si>
  <si>
    <t>서울시 종로구 신문로 1가 57번지 금호빌딩 7층</t>
  </si>
  <si>
    <t>031-6622-1912</t>
  </si>
  <si>
    <t>(주)PS홈쇼핑</t>
  </si>
  <si>
    <t>이상연</t>
    <phoneticPr fontId="0" type="noConversion"/>
  </si>
  <si>
    <t>서울시 성북구 보문동 111-22</t>
  </si>
  <si>
    <t>010-4427-2231</t>
  </si>
  <si>
    <t>경기도 수원시 영통구 원천동 327</t>
  </si>
  <si>
    <t>031-9417-7774</t>
  </si>
  <si>
    <t>(주)대화건설</t>
  </si>
  <si>
    <t>이석구</t>
    <phoneticPr fontId="0" type="noConversion"/>
  </si>
  <si>
    <t>대구광역시 남구 대명3동 1000</t>
  </si>
  <si>
    <t>010-6936-8311</t>
  </si>
  <si>
    <t xml:space="preserve">경기도 과천시 관문로 88 중앙동 1번지   </t>
  </si>
  <si>
    <t>051-5436-1723</t>
  </si>
  <si>
    <t>(주)드림파마</t>
  </si>
  <si>
    <t>이선혜</t>
    <phoneticPr fontId="0" type="noConversion"/>
  </si>
  <si>
    <t>대구광역시 남구 대명동 10</t>
  </si>
  <si>
    <t>010-6406-9823</t>
  </si>
  <si>
    <t>서울특별시 강남구 역삼동 708-8</t>
  </si>
  <si>
    <t>051-1676-5118</t>
  </si>
  <si>
    <t>(주)그린워터행복</t>
  </si>
  <si>
    <t>이승희</t>
  </si>
  <si>
    <t>서울시 금천구 시흥1동 246</t>
  </si>
  <si>
    <t>010-7448-1689</t>
  </si>
  <si>
    <t>서울시 종로구 신문로 1가 57번지 금호아시아나빌딩</t>
  </si>
  <si>
    <t>032-3466-3471</t>
  </si>
  <si>
    <t>(주)록인</t>
  </si>
  <si>
    <t>이안나</t>
    <phoneticPr fontId="0" type="noConversion"/>
  </si>
  <si>
    <t>서울시 서대문구 통일로3길 43, 1004</t>
  </si>
  <si>
    <t>010-6848-3367</t>
  </si>
  <si>
    <t xml:space="preserve">경북 구미시 임수동 94-1 </t>
  </si>
  <si>
    <t>055-3265-9951</t>
  </si>
  <si>
    <t>(주)백두스포츠</t>
  </si>
  <si>
    <t>이영주</t>
    <phoneticPr fontId="0" type="noConversion"/>
  </si>
  <si>
    <t>서울시 은평구 녹번동 123</t>
  </si>
  <si>
    <t>010-0559-3086</t>
  </si>
  <si>
    <t>서울시 송파구 신청동 29</t>
  </si>
  <si>
    <t>053-5793-3757</t>
  </si>
  <si>
    <t>(주)라이너</t>
  </si>
  <si>
    <t>이재준</t>
    <phoneticPr fontId="0" type="noConversion"/>
  </si>
  <si>
    <t>경기 수원 장안 연무동 30000</t>
  </si>
  <si>
    <t>010-6404-6981</t>
  </si>
  <si>
    <t>경기도 수원시 영통구 신동 757</t>
  </si>
  <si>
    <t>051-9019-4131</t>
  </si>
  <si>
    <t>(주)맑은물지키미</t>
  </si>
  <si>
    <t>이종환</t>
    <phoneticPr fontId="0" type="noConversion"/>
  </si>
  <si>
    <t>경기도 구리시 토평동 구리상가 10층 1호</t>
    <phoneticPr fontId="0" type="noConversion"/>
  </si>
  <si>
    <t>010-9949-6548</t>
  </si>
  <si>
    <t>055-9072-4081</t>
  </si>
  <si>
    <t>(주)베스트코리아</t>
  </si>
  <si>
    <t>이지연</t>
    <phoneticPr fontId="0" type="noConversion"/>
  </si>
  <si>
    <t>서울시 중구 장충동2가 산양빌라 117</t>
    <phoneticPr fontId="0" type="noConversion"/>
  </si>
  <si>
    <t>010-3878-9450</t>
  </si>
  <si>
    <t>서울시 송파구 방이동 88 올림픽회관</t>
  </si>
  <si>
    <t>053-6002-4603</t>
  </si>
  <si>
    <t>(주)보헌개발</t>
  </si>
  <si>
    <t>이진미</t>
    <phoneticPr fontId="0" type="noConversion"/>
  </si>
  <si>
    <t>서울시 구로구 신도림동 65</t>
    <phoneticPr fontId="0" type="noConversion"/>
  </si>
  <si>
    <t>010-3257-6499</t>
  </si>
  <si>
    <t>서울 서초구 잠원동 50-2 롯데캐슬</t>
  </si>
  <si>
    <t>053-7501-3040</t>
  </si>
  <si>
    <t>(주)동보</t>
  </si>
  <si>
    <t>이하린</t>
    <phoneticPr fontId="0" type="noConversion"/>
  </si>
  <si>
    <t>서울시 은평구 가양대로 11</t>
  </si>
  <si>
    <t>010-0992-5745</t>
  </si>
  <si>
    <t>서울 서초구 서초1동 1445-14</t>
  </si>
  <si>
    <t>051-9020-2782</t>
  </si>
  <si>
    <t>(주)백두씨엔에스</t>
  </si>
  <si>
    <t>이혜령</t>
    <phoneticPr fontId="0" type="noConversion"/>
  </si>
  <si>
    <t>서울시 강남 삼성A 4999</t>
  </si>
  <si>
    <t>010-3260-8362</t>
  </si>
  <si>
    <t xml:space="preserve">서울 중구 을지로6가 18-12 두산타워빌딩 </t>
  </si>
  <si>
    <t>054-8228-8395</t>
  </si>
  <si>
    <t>(주)싸이버로지텍</t>
  </si>
  <si>
    <t>임교의</t>
  </si>
  <si>
    <t>경기도 과천시 별양로 855, 5-12</t>
  </si>
  <si>
    <t>010-0778-4354</t>
  </si>
  <si>
    <t>서울 강남구 대치동 1001번지 사조빌딩 사조산업㈜</t>
  </si>
  <si>
    <t>051-3835-2303</t>
  </si>
  <si>
    <t>(주)넥스테이션</t>
  </si>
  <si>
    <t>임동균</t>
    <phoneticPr fontId="0" type="noConversion"/>
  </si>
  <si>
    <t>서울시 동대문구 휘경1동 172</t>
  </si>
  <si>
    <t>010-0255-4983</t>
  </si>
  <si>
    <t>서울시 강남구 역삼동 701-2 삼정개발빌딩 16층</t>
  </si>
  <si>
    <t>032-2155-9566</t>
  </si>
  <si>
    <t>(주)신동방씨피</t>
  </si>
  <si>
    <t>임준용</t>
  </si>
  <si>
    <t>서울시 종로구 동숭동 12958</t>
  </si>
  <si>
    <t>010-2029-3954</t>
  </si>
  <si>
    <t>서울시 마포구 시교동 395-27</t>
  </si>
  <si>
    <t>051-4467-9500</t>
  </si>
  <si>
    <t>(주)강산중공업</t>
  </si>
  <si>
    <t>장윤선</t>
    <phoneticPr fontId="0" type="noConversion"/>
  </si>
  <si>
    <t>서울시 용산구 만리재로 506</t>
  </si>
  <si>
    <t>010-5015-9686</t>
  </si>
  <si>
    <t>서울시 서초구 서초동 1467-80번지</t>
  </si>
  <si>
    <t>032-6081-2846</t>
  </si>
  <si>
    <t>(주)생보부동산신탁</t>
  </si>
  <si>
    <t>정미경</t>
  </si>
  <si>
    <t>서울시 종로구 창경궁로 명륜2가 명신A 13-11025</t>
  </si>
  <si>
    <t>010-4291-7216</t>
  </si>
  <si>
    <t>충남 천안시 직산읍 군서리 92-2</t>
  </si>
  <si>
    <t>051-9559-1160</t>
  </si>
  <si>
    <t>(주)씨브이네트</t>
  </si>
  <si>
    <t>정선영</t>
  </si>
  <si>
    <t>서울시 도봉구 방학동 우성복합단지 228</t>
    <phoneticPr fontId="0" type="noConversion"/>
  </si>
  <si>
    <t>010-0493-9032</t>
  </si>
  <si>
    <t xml:space="preserve">서울 서초구 서초3동 1534-5 코스모빌딩  </t>
  </si>
  <si>
    <t>051-6758-6682</t>
  </si>
  <si>
    <t>(주)APGI</t>
  </si>
  <si>
    <t>정연섭</t>
    <phoneticPr fontId="0" type="noConversion"/>
  </si>
  <si>
    <t>서울시 관악구 신사동 49983</t>
  </si>
  <si>
    <t>010-0073-1757</t>
  </si>
  <si>
    <t>서울특별시 동작구 신대방동 370</t>
  </si>
  <si>
    <t>02-9940-1840</t>
  </si>
  <si>
    <t>(주)국호</t>
  </si>
  <si>
    <t>정희수</t>
    <phoneticPr fontId="0" type="noConversion"/>
  </si>
  <si>
    <t>경기도 용인시 기흥구 신갈동 도현마을 현대 20</t>
  </si>
  <si>
    <t>010-2669-1860</t>
  </si>
  <si>
    <t>서울 송파구 잠실1동 10 종합야구장내</t>
  </si>
  <si>
    <t>032-4262-7312</t>
  </si>
  <si>
    <t>(주)드림익스프</t>
  </si>
  <si>
    <t>조용철</t>
    <phoneticPr fontId="0" type="noConversion"/>
  </si>
  <si>
    <t>서울시 서초구 서초4동 1614</t>
    <phoneticPr fontId="0" type="noConversion"/>
  </si>
  <si>
    <t>010-2884-3867</t>
  </si>
  <si>
    <t>경기도 고양시 덕양구 토당동 855-3 마동빌딩 202호</t>
  </si>
  <si>
    <t>053-9410-4733</t>
  </si>
  <si>
    <t>(주)TUME에프엠하우</t>
  </si>
  <si>
    <t>조은선</t>
    <phoneticPr fontId="0" type="noConversion"/>
  </si>
  <si>
    <t>서울시 은평구 증산동 20137</t>
  </si>
  <si>
    <t>010-6098-9511</t>
  </si>
  <si>
    <t>서울 영등포구 여의도동 34-10 메리츠증권빌딩   </t>
  </si>
  <si>
    <t>02-5962-4704</t>
  </si>
  <si>
    <t>(주)농협유통</t>
  </si>
  <si>
    <t>진병윤</t>
  </si>
  <si>
    <t>서울시 광진구 구의2동 2851</t>
  </si>
  <si>
    <t>010-8834-9086</t>
  </si>
  <si>
    <t>서울 동작구 신대방2동 370 농심사옥   </t>
  </si>
  <si>
    <t>032-7431-4340</t>
  </si>
  <si>
    <t>(주)국호에프앤지</t>
  </si>
  <si>
    <t>차민경</t>
    <phoneticPr fontId="0" type="noConversion"/>
  </si>
  <si>
    <t>서울시 서대문구 홍은동 8312</t>
  </si>
  <si>
    <t>010-6965-7041</t>
  </si>
  <si>
    <t>02-7736-3958</t>
  </si>
  <si>
    <t>(주)PS텔레서비스</t>
  </si>
  <si>
    <t>차세은</t>
    <phoneticPr fontId="0" type="noConversion"/>
  </si>
  <si>
    <t>광주 북구 각화동 11111번지</t>
  </si>
  <si>
    <t>010-4814-2319</t>
  </si>
  <si>
    <t>인천광역시 남동구 남촌동 621-7</t>
  </si>
  <si>
    <t>031-5043-2441</t>
  </si>
  <si>
    <t>(주)APII여주공장</t>
  </si>
  <si>
    <t>탁연미</t>
    <phoneticPr fontId="0" type="noConversion"/>
  </si>
  <si>
    <t>서울시 용산구 후암동 19072</t>
  </si>
  <si>
    <t>010-8296-3343</t>
  </si>
  <si>
    <t xml:space="preserve">서울 강남구 역삼1동 837-36 랜드마크타워10층  </t>
  </si>
  <si>
    <t>031-5329-4013</t>
  </si>
  <si>
    <t>(주)넘버원</t>
  </si>
  <si>
    <t>하창진</t>
  </si>
  <si>
    <t>서울시 중구 퇴계로 235 92</t>
  </si>
  <si>
    <t>010-4726-1876</t>
  </si>
  <si>
    <t>서울 종로구 수송동 146-12 대림빌딩</t>
  </si>
  <si>
    <t>032-9365-3619</t>
  </si>
  <si>
    <t>(주)그린나무</t>
  </si>
  <si>
    <t>하효정</t>
    <phoneticPr fontId="0" type="noConversion"/>
  </si>
  <si>
    <t>서울시 성동구 성수동1가 246</t>
  </si>
  <si>
    <t>010-3749-8355</t>
  </si>
  <si>
    <t>경기도 성남시 분당구 야탑동 486</t>
  </si>
  <si>
    <t>02-1031-2169</t>
  </si>
  <si>
    <t>(주)성진계기</t>
  </si>
  <si>
    <t>한규석</t>
  </si>
  <si>
    <t>서울시 서초구 반포4동 6146</t>
  </si>
  <si>
    <t>010-8196-8732</t>
  </si>
  <si>
    <t>서울시 동대문구 청량리동 사서함 276호</t>
  </si>
  <si>
    <t>054-3114-7590</t>
  </si>
  <si>
    <t>(주)브이이엔에스</t>
  </si>
  <si>
    <t>한희정</t>
    <phoneticPr fontId="0" type="noConversion"/>
  </si>
  <si>
    <t>서울시 관악 봉천11동 90000</t>
  </si>
  <si>
    <t>010-7523-6371</t>
  </si>
  <si>
    <t>서울 영등포구 양평동3가 45</t>
  </si>
  <si>
    <t>051-1807-8624</t>
  </si>
  <si>
    <t>(주)디에이치클럽닷컴</t>
  </si>
  <si>
    <t>함진경</t>
    <phoneticPr fontId="0" type="noConversion"/>
  </si>
  <si>
    <t>서울시 중구 남산동2가 4971</t>
  </si>
  <si>
    <t>010-3740-4272</t>
  </si>
  <si>
    <t>서울 강남구 대치동 891-10 동부금융센터</t>
  </si>
  <si>
    <t>051-5196-5549</t>
  </si>
  <si>
    <t>(주)마루망코리아</t>
  </si>
  <si>
    <t>황성연</t>
    <phoneticPr fontId="0" type="noConversion"/>
  </si>
  <si>
    <t>서울시 종로구 봉익동 35-18</t>
  </si>
  <si>
    <t>010-6240-6266</t>
  </si>
  <si>
    <t>경기도 안산시 단원구 목내동 390-1</t>
  </si>
  <si>
    <t>055-2828-2464</t>
    <phoneticPr fontId="0" type="noConversion"/>
  </si>
  <si>
    <t>LOTUS 1-2-3 (1983년)</t>
    <phoneticPr fontId="1" type="noConversion"/>
  </si>
  <si>
    <t>VISICALC (1979년)</t>
    <phoneticPr fontId="1" type="noConversion"/>
  </si>
  <si>
    <t>EXCEL (1985년)</t>
    <phoneticPr fontId="1" type="noConversion"/>
  </si>
  <si>
    <t>전필</t>
    <phoneticPr fontId="1" type="noConversion"/>
  </si>
  <si>
    <t>전선</t>
    <phoneticPr fontId="1" type="noConversion"/>
  </si>
  <si>
    <t>교필</t>
    <phoneticPr fontId="1" type="noConversion"/>
  </si>
  <si>
    <t xml:space="preserve">문제: 학과별 전필, 전선, 교필 점수가 가장 큰 학생의 '이름'을 </t>
    <phoneticPr fontId="1" type="noConversion"/>
  </si>
  <si>
    <t>김함바</t>
    <phoneticPr fontId="1" type="noConversion"/>
  </si>
  <si>
    <t>컴퓨터공학</t>
    <phoneticPr fontId="1" type="noConversion"/>
  </si>
  <si>
    <t xml:space="preserve">       [표2] 영역에 표시.</t>
    <phoneticPr fontId="1" type="noConversion"/>
  </si>
  <si>
    <t>박헨리</t>
    <phoneticPr fontId="1" type="noConversion"/>
  </si>
  <si>
    <t>독어독문학</t>
    <phoneticPr fontId="1" type="noConversion"/>
  </si>
  <si>
    <t xml:space="preserve">       (INDEX, MATCH, MAX 함수 이용한 배열 수식)</t>
    <phoneticPr fontId="1" type="noConversion"/>
  </si>
  <si>
    <t>김골든</t>
    <phoneticPr fontId="1" type="noConversion"/>
  </si>
  <si>
    <t>수의학</t>
    <phoneticPr fontId="1" type="noConversion"/>
  </si>
  <si>
    <t>이정우</t>
    <phoneticPr fontId="1" type="noConversion"/>
  </si>
  <si>
    <t>디자인</t>
    <phoneticPr fontId="1" type="noConversion"/>
  </si>
  <si>
    <t>[표2]</t>
    <phoneticPr fontId="1" type="noConversion"/>
  </si>
  <si>
    <t>송혜수</t>
    <phoneticPr fontId="1" type="noConversion"/>
  </si>
  <si>
    <t>서유진</t>
    <phoneticPr fontId="1" type="noConversion"/>
  </si>
  <si>
    <t>김써니</t>
    <phoneticPr fontId="1" type="noConversion"/>
  </si>
  <si>
    <t>지율무</t>
    <phoneticPr fontId="1" type="noConversion"/>
  </si>
  <si>
    <t>이효진</t>
    <phoneticPr fontId="1" type="noConversion"/>
  </si>
  <si>
    <t>박정재</t>
    <phoneticPr fontId="1" type="noConversion"/>
  </si>
  <si>
    <t>=INDEX( 가져올값이 있는 범위, 행번호, 열번호 )</t>
    <phoneticPr fontId="1" type="noConversion"/>
  </si>
  <si>
    <t>공두나</t>
    <phoneticPr fontId="1" type="noConversion"/>
  </si>
  <si>
    <t>=MATCH( 찾을값 , 값범위 , 방식 )</t>
    <phoneticPr fontId="1" type="noConversion"/>
  </si>
  <si>
    <t>=MAX( 값범위 )</t>
    <phoneticPr fontId="1" type="noConversion"/>
  </si>
  <si>
    <t>문제. 면접일이 화요일, 금요일 인 행 전체에 '노랑'채우기 '빨간'글꼴 '굵게' 설정하시오.</t>
    <phoneticPr fontId="1" type="noConversion"/>
  </si>
  <si>
    <t>▶ Weekday 함수 사용. (단, 월요일이 1인 방식)</t>
    <phoneticPr fontId="1" type="noConversion"/>
  </si>
  <si>
    <t>▶ 수식을 이용하여 서식을 지정할 셀 결정을 이용.</t>
    <phoneticPr fontId="1" type="noConversion"/>
  </si>
  <si>
    <t>학과</t>
  </si>
  <si>
    <t>주소</t>
  </si>
  <si>
    <t>전화번호</t>
  </si>
  <si>
    <t>면접일</t>
  </si>
  <si>
    <t>전필</t>
  </si>
  <si>
    <t>전선</t>
  </si>
  <si>
    <t>교필</t>
  </si>
  <si>
    <t>교선</t>
  </si>
  <si>
    <t>합계</t>
  </si>
  <si>
    <t>평균</t>
  </si>
  <si>
    <t>김함바</t>
  </si>
  <si>
    <t>컴퓨터공학</t>
  </si>
  <si>
    <t>서울특별시</t>
  </si>
  <si>
    <t>02-111-1111</t>
  </si>
  <si>
    <t>박헨리</t>
  </si>
  <si>
    <t>독어독문학</t>
  </si>
  <si>
    <t>강원도</t>
  </si>
  <si>
    <t>033-222-2222</t>
  </si>
  <si>
    <t>김골든</t>
  </si>
  <si>
    <t>수의학</t>
  </si>
  <si>
    <t>경기도</t>
  </si>
  <si>
    <t>031-333-3333</t>
  </si>
  <si>
    <t>이정우</t>
  </si>
  <si>
    <t>디자인</t>
  </si>
  <si>
    <t>충청도</t>
  </si>
  <si>
    <t>043-555-5555</t>
  </si>
  <si>
    <t>송혜수</t>
  </si>
  <si>
    <t>02-777-7777</t>
  </si>
  <si>
    <t>서유진</t>
  </si>
  <si>
    <t>033-888-8888</t>
  </si>
  <si>
    <t>김써니</t>
  </si>
  <si>
    <t>031-999-9999</t>
  </si>
  <si>
    <t>지율무</t>
  </si>
  <si>
    <t>043-001-0001</t>
  </si>
  <si>
    <t>이효진</t>
  </si>
  <si>
    <t>02-002-0002</t>
  </si>
  <si>
    <t>박정재</t>
  </si>
  <si>
    <t>033-003-0003</t>
  </si>
  <si>
    <t>최승원</t>
  </si>
  <si>
    <t>031-004-0004</t>
  </si>
  <si>
    <t>공두나</t>
  </si>
  <si>
    <t>043-005-0005</t>
  </si>
  <si>
    <t>=WEEKDAY( 날짜 , 방식 )</t>
    <phoneticPr fontId="1" type="noConversion"/>
  </si>
  <si>
    <t>1: 일=1</t>
    <phoneticPr fontId="1" type="noConversion"/>
  </si>
  <si>
    <t>2: 월=1</t>
    <phoneticPr fontId="1" type="noConversion"/>
  </si>
  <si>
    <t>3: 월=0</t>
    <phoneticPr fontId="1" type="noConversion"/>
  </si>
  <si>
    <t>주요기능</t>
    <phoneticPr fontId="1" type="noConversion"/>
  </si>
  <si>
    <t>Win+Shift+S : 캡쳐</t>
    <phoneticPr fontId="1" type="noConversion"/>
  </si>
  <si>
    <t>chrome://chrome-urls</t>
    <phoneticPr fontId="1" type="noConversion"/>
  </si>
  <si>
    <t>과체중</t>
    <phoneticPr fontId="1" type="noConversion"/>
  </si>
  <si>
    <t>딸기스무디</t>
  </si>
  <si>
    <t>딸기스무디</t>
    <phoneticPr fontId="1" type="noConversion"/>
  </si>
  <si>
    <t>프레인 스무디</t>
  </si>
  <si>
    <t>프레인 스무디</t>
    <phoneticPr fontId="1" type="noConversion"/>
  </si>
  <si>
    <t>초토스무디</t>
    <phoneticPr fontId="1" type="noConversion"/>
  </si>
  <si>
    <t>토마토쥬스</t>
  </si>
  <si>
    <t>토마토쥬스</t>
    <phoneticPr fontId="1" type="noConversion"/>
  </si>
  <si>
    <t>2024학년도 1학기 중간고사 감독표</t>
    <phoneticPr fontId="1" type="noConversion"/>
  </si>
  <si>
    <r>
      <rPr>
        <b/>
        <sz val="14"/>
        <color theme="1"/>
        <rFont val="맑은 고딕"/>
        <family val="3"/>
        <charset val="129"/>
        <scheme val="minor"/>
      </rPr>
      <t>[안내사항] *꼭 확인 부탁드려요!*</t>
    </r>
    <r>
      <rPr>
        <sz val="11"/>
        <color theme="1"/>
        <rFont val="맑은 고딕"/>
        <family val="2"/>
        <charset val="129"/>
        <scheme val="minor"/>
      </rPr>
      <t xml:space="preserve">
1. 감독 순서나 시험실을 교체해야 하실 경우 반드시 연구부에 확인 바랍니다.
2. 시험 감독 중 학생들의 민원 소지가 있는 행위에 유의 바랍니다.
3. 시험 시작 전 반드시 부정행위에 대해 안내 부탁드리며, 시험 중 화장실 용무 등을 이유로 시험실을 나갈 경우 부감독 선생님께서 이동 및 지도 부탁드립니다.
4. 자습 감독 시 학생 무단 이동 및 대기실 이탈이 없도록 지도 부탁드립니다. 특히 다른 학년이나 학급에서 시험을 보는 경우 대기실 밖으로 이탈하지 않도록 지도 부탁드립니다.
5. 사회과실과 미술실에는 수업교구와 기자재가 있으므로 학생들이 사용하지 못하도록 안내 부탁드립니다.
6. 자습 감독 등에 연구부 지원이 가능하므로 지도 및 감독 시 어려움이 생기시면 알려주시기 바랍니다!
</t>
    </r>
    <r>
      <rPr>
        <sz val="11"/>
        <color theme="1"/>
        <rFont val="맑은 고딕"/>
        <family val="3"/>
        <charset val="129"/>
        <scheme val="minor"/>
      </rPr>
      <t xml:space="preserve">
</t>
    </r>
    <phoneticPr fontId="1" type="noConversion"/>
  </si>
  <si>
    <t>일자</t>
    <phoneticPr fontId="39" type="noConversion"/>
  </si>
  <si>
    <t>교시</t>
    <phoneticPr fontId="39" type="noConversion"/>
  </si>
  <si>
    <t>감독</t>
    <phoneticPr fontId="39" type="noConversion"/>
  </si>
  <si>
    <t>1학년</t>
  </si>
  <si>
    <t>2학년</t>
  </si>
  <si>
    <t>시험실/자습실</t>
    <phoneticPr fontId="1" type="noConversion"/>
  </si>
  <si>
    <t>자습실</t>
    <phoneticPr fontId="1" type="noConversion"/>
  </si>
  <si>
    <t>3학년</t>
  </si>
  <si>
    <t>자습반</t>
    <phoneticPr fontId="1" type="noConversion"/>
  </si>
  <si>
    <t>1-1</t>
    <phoneticPr fontId="1" type="noConversion"/>
  </si>
  <si>
    <t>1-2</t>
    <phoneticPr fontId="1" type="noConversion"/>
  </si>
  <si>
    <t>1-3</t>
  </si>
  <si>
    <t>1-4</t>
  </si>
  <si>
    <t>1-5</t>
  </si>
  <si>
    <t>1-6</t>
  </si>
  <si>
    <t>1-7</t>
    <phoneticPr fontId="1" type="noConversion"/>
  </si>
  <si>
    <t>2-1</t>
    <phoneticPr fontId="1" type="noConversion"/>
  </si>
  <si>
    <t>2-2</t>
    <phoneticPr fontId="1" type="noConversion"/>
  </si>
  <si>
    <t>2-3</t>
  </si>
  <si>
    <t>2-4</t>
  </si>
  <si>
    <t>2-5</t>
  </si>
  <si>
    <t>2-6</t>
  </si>
  <si>
    <t>2-7</t>
  </si>
  <si>
    <t>2-8</t>
    <phoneticPr fontId="1" type="noConversion"/>
  </si>
  <si>
    <t>AI실</t>
    <phoneticPr fontId="1" type="noConversion"/>
  </si>
  <si>
    <t>도서실</t>
    <phoneticPr fontId="1" type="noConversion"/>
  </si>
  <si>
    <t>3-1</t>
    <phoneticPr fontId="1" type="noConversion"/>
  </si>
  <si>
    <t>3-2</t>
    <phoneticPr fontId="1" type="noConversion"/>
  </si>
  <si>
    <t>3-3</t>
  </si>
  <si>
    <t>3-4</t>
  </si>
  <si>
    <t>3-5</t>
  </si>
  <si>
    <t>3-6</t>
  </si>
  <si>
    <t>3-7</t>
    <phoneticPr fontId="1" type="noConversion"/>
  </si>
  <si>
    <t>4/25
(목)</t>
    <phoneticPr fontId="1" type="noConversion"/>
  </si>
  <si>
    <t>1교시</t>
  </si>
  <si>
    <t>자습</t>
    <phoneticPr fontId="1" type="noConversion"/>
  </si>
  <si>
    <t>문학</t>
    <phoneticPr fontId="1" type="noConversion"/>
  </si>
  <si>
    <t>독서</t>
    <phoneticPr fontId="1" type="noConversion"/>
  </si>
  <si>
    <t>정</t>
  </si>
  <si>
    <t>09:00~09:50</t>
    <phoneticPr fontId="1" type="noConversion"/>
  </si>
  <si>
    <t>부</t>
  </si>
  <si>
    <t>2교시</t>
  </si>
  <si>
    <t>10:20~11:10</t>
    <phoneticPr fontId="1" type="noConversion"/>
  </si>
  <si>
    <t>3교시</t>
  </si>
  <si>
    <t>정치와 법</t>
    <phoneticPr fontId="1" type="noConversion"/>
  </si>
  <si>
    <t>세계사</t>
    <phoneticPr fontId="1" type="noConversion"/>
  </si>
  <si>
    <t>11:40~12:30</t>
    <phoneticPr fontId="1" type="noConversion"/>
  </si>
  <si>
    <t>4/26
(금)</t>
    <phoneticPr fontId="1" type="noConversion"/>
  </si>
  <si>
    <t>한국사</t>
    <phoneticPr fontId="1" type="noConversion"/>
  </si>
  <si>
    <t>지구과학Ⅰ</t>
    <phoneticPr fontId="1" type="noConversion"/>
  </si>
  <si>
    <t>세계지리</t>
    <phoneticPr fontId="1" type="noConversion"/>
  </si>
  <si>
    <t>경수</t>
    <phoneticPr fontId="1" type="noConversion"/>
  </si>
  <si>
    <t>진로영어</t>
    <phoneticPr fontId="1" type="noConversion"/>
  </si>
  <si>
    <t>심화수학Ⅰ</t>
    <phoneticPr fontId="1" type="noConversion"/>
  </si>
  <si>
    <t>통합과학</t>
    <phoneticPr fontId="1" type="noConversion"/>
  </si>
  <si>
    <t>화학Ⅰ</t>
    <phoneticPr fontId="1" type="noConversion"/>
  </si>
  <si>
    <t>윤리와 사상</t>
    <phoneticPr fontId="1" type="noConversion"/>
  </si>
  <si>
    <t>4/29
(월)</t>
    <phoneticPr fontId="1" type="noConversion"/>
  </si>
  <si>
    <t>수학Ⅰ</t>
    <phoneticPr fontId="1" type="noConversion"/>
  </si>
  <si>
    <t>미적분</t>
    <phoneticPr fontId="1" type="noConversion"/>
  </si>
  <si>
    <t>수학과제탐구</t>
    <phoneticPr fontId="1" type="noConversion"/>
  </si>
  <si>
    <t>통합사회</t>
    <phoneticPr fontId="1" type="noConversion"/>
  </si>
  <si>
    <t>생활과 윤리</t>
    <phoneticPr fontId="1" type="noConversion"/>
  </si>
  <si>
    <t>한국지리</t>
    <phoneticPr fontId="1" type="noConversion"/>
  </si>
  <si>
    <t>4/30
(화)</t>
    <phoneticPr fontId="1" type="noConversion"/>
  </si>
  <si>
    <t>영어Ⅰ</t>
    <phoneticPr fontId="1" type="noConversion"/>
  </si>
  <si>
    <t>영어 독해와 작문</t>
    <phoneticPr fontId="1" type="noConversion"/>
  </si>
  <si>
    <t>4교시</t>
  </si>
  <si>
    <t>정보</t>
    <phoneticPr fontId="1" type="noConversion"/>
  </si>
  <si>
    <t>생명과학Ⅰ</t>
    <phoneticPr fontId="1" type="noConversion"/>
  </si>
  <si>
    <t>사회 문화</t>
    <phoneticPr fontId="1" type="noConversion"/>
  </si>
  <si>
    <t>13:40~14:30</t>
    <phoneticPr fontId="1" type="noConversion"/>
  </si>
  <si>
    <t>감독교사</t>
  </si>
  <si>
    <t>번호</t>
  </si>
  <si>
    <t>시간</t>
  </si>
  <si>
    <t>임O묵</t>
    <phoneticPr fontId="39" type="noConversion"/>
  </si>
  <si>
    <t>김O정</t>
    <phoneticPr fontId="39" type="noConversion"/>
  </si>
  <si>
    <t>윤O라</t>
    <phoneticPr fontId="39" type="noConversion"/>
  </si>
  <si>
    <t>김O솔</t>
    <phoneticPr fontId="1" type="noConversion"/>
  </si>
  <si>
    <t>오O연</t>
    <phoneticPr fontId="1" type="noConversion"/>
  </si>
  <si>
    <t>사라O먼</t>
    <phoneticPr fontId="1" type="noConversion"/>
  </si>
  <si>
    <t>황O화</t>
    <phoneticPr fontId="39" type="noConversion"/>
  </si>
  <si>
    <t>조O현</t>
    <phoneticPr fontId="1" type="noConversion"/>
  </si>
  <si>
    <t>고O비</t>
    <phoneticPr fontId="1" type="noConversion"/>
  </si>
  <si>
    <t>이O영</t>
    <phoneticPr fontId="1" type="noConversion"/>
  </si>
  <si>
    <t>지엔O춘</t>
    <phoneticPr fontId="1" type="noConversion"/>
  </si>
  <si>
    <t>이O옥</t>
    <phoneticPr fontId="39" type="noConversion"/>
  </si>
  <si>
    <t>박O송</t>
    <phoneticPr fontId="39" type="noConversion"/>
  </si>
  <si>
    <t>이O영</t>
    <phoneticPr fontId="39" type="noConversion"/>
  </si>
  <si>
    <t>김O우</t>
    <phoneticPr fontId="1" type="noConversion"/>
  </si>
  <si>
    <t>박O재</t>
    <phoneticPr fontId="1" type="noConversion"/>
  </si>
  <si>
    <t>유O하</t>
    <phoneticPr fontId="1" type="noConversion"/>
  </si>
  <si>
    <t>류O수</t>
    <phoneticPr fontId="39" type="noConversion"/>
  </si>
  <si>
    <t>권O현</t>
    <phoneticPr fontId="39" type="noConversion"/>
  </si>
  <si>
    <t>김O미</t>
    <phoneticPr fontId="39" type="noConversion"/>
  </si>
  <si>
    <t>조O채</t>
    <phoneticPr fontId="1" type="noConversion"/>
  </si>
  <si>
    <t>김O준</t>
    <phoneticPr fontId="1" type="noConversion"/>
  </si>
  <si>
    <t>김O울</t>
    <phoneticPr fontId="1" type="noConversion"/>
  </si>
  <si>
    <t>박O성</t>
    <phoneticPr fontId="39" type="noConversion"/>
  </si>
  <si>
    <t>김O섭</t>
    <phoneticPr fontId="39" type="noConversion"/>
  </si>
  <si>
    <t>서O지</t>
    <phoneticPr fontId="39" type="noConversion"/>
  </si>
  <si>
    <t>한O경</t>
    <phoneticPr fontId="1" type="noConversion"/>
  </si>
  <si>
    <t>은O주</t>
    <phoneticPr fontId="1" type="noConversion"/>
  </si>
  <si>
    <t>최O선</t>
    <phoneticPr fontId="39" type="noConversion"/>
  </si>
  <si>
    <t>박O샘</t>
    <phoneticPr fontId="39" type="noConversion"/>
  </si>
  <si>
    <t>정O환</t>
    <phoneticPr fontId="39" type="noConversion"/>
  </si>
  <si>
    <t>송O래</t>
    <phoneticPr fontId="1" type="noConversion"/>
  </si>
  <si>
    <t>박O성</t>
    <phoneticPr fontId="1" type="noConversion"/>
  </si>
  <si>
    <t>유O</t>
    <phoneticPr fontId="39" type="noConversion"/>
  </si>
  <si>
    <t>김O애</t>
    <phoneticPr fontId="39" type="noConversion"/>
  </si>
  <si>
    <t>조O주</t>
    <phoneticPr fontId="39" type="noConversion"/>
  </si>
  <si>
    <t>전O현</t>
    <phoneticPr fontId="1" type="noConversion"/>
  </si>
  <si>
    <t>홍O훈</t>
    <phoneticPr fontId="1" type="noConversion"/>
  </si>
  <si>
    <t>양O숙</t>
    <phoneticPr fontId="39" type="noConversion"/>
  </si>
  <si>
    <t>김O기</t>
    <phoneticPr fontId="39" type="noConversion"/>
  </si>
  <si>
    <t>최O호</t>
    <phoneticPr fontId="39" type="noConversion"/>
  </si>
  <si>
    <t>김O진</t>
    <phoneticPr fontId="1" type="noConversion"/>
  </si>
  <si>
    <t>정O준</t>
    <phoneticPr fontId="1" type="noConversion"/>
  </si>
  <si>
    <t>차O매</t>
    <phoneticPr fontId="39" type="noConversion"/>
  </si>
  <si>
    <t>김O범</t>
    <phoneticPr fontId="39" type="noConversion"/>
  </si>
  <si>
    <t>조O정</t>
    <phoneticPr fontId="39" type="noConversion"/>
  </si>
  <si>
    <t>차O숙</t>
    <phoneticPr fontId="1" type="noConversion"/>
  </si>
  <si>
    <t>용O라</t>
    <phoneticPr fontId="1" type="noConversion"/>
  </si>
  <si>
    <t>김O희</t>
    <phoneticPr fontId="39" type="noConversion"/>
  </si>
  <si>
    <t>이O연</t>
    <phoneticPr fontId="39" type="noConversion"/>
  </si>
  <si>
    <t>신O미</t>
    <phoneticPr fontId="39" type="noConversion"/>
  </si>
  <si>
    <t>이O경</t>
    <phoneticPr fontId="1" type="noConversion"/>
  </si>
  <si>
    <t>양O영</t>
    <phoneticPr fontId="1" type="noConversion"/>
  </si>
  <si>
    <t>2024. 감독 순번 및 통계</t>
    <phoneticPr fontId="1" type="noConversion"/>
  </si>
  <si>
    <t>1학기</t>
    <phoneticPr fontId="1" type="noConversion"/>
  </si>
  <si>
    <t>중간고사</t>
    <phoneticPr fontId="1" type="noConversion"/>
  </si>
  <si>
    <t>기말고사</t>
    <phoneticPr fontId="1" type="noConversion"/>
  </si>
  <si>
    <t>1학기 누계</t>
    <phoneticPr fontId="1" type="noConversion"/>
  </si>
  <si>
    <t>비고</t>
    <phoneticPr fontId="1" type="noConversion"/>
  </si>
  <si>
    <t>감독번호</t>
    <phoneticPr fontId="1" type="noConversion"/>
  </si>
  <si>
    <t>감독교사</t>
    <phoneticPr fontId="1" type="noConversion"/>
  </si>
  <si>
    <t>정</t>
    <phoneticPr fontId="1" type="noConversion"/>
  </si>
  <si>
    <t>부</t>
    <phoneticPr fontId="1" type="noConversion"/>
  </si>
  <si>
    <t>누계</t>
    <phoneticPr fontId="1" type="noConversion"/>
  </si>
  <si>
    <t>생활과윤리</t>
    <phoneticPr fontId="39" type="noConversion"/>
  </si>
  <si>
    <t xml:space="preserve">  </t>
    <phoneticPr fontId="1" type="noConversion"/>
  </si>
  <si>
    <t>4.29.(월)-4.30.(화) 출장</t>
    <phoneticPr fontId="1" type="noConversion"/>
  </si>
  <si>
    <t>4.26.(금) 2교시 조퇴</t>
    <phoneticPr fontId="1" type="noConversion"/>
  </si>
  <si>
    <t>4.25.(목)-4.29.(월) 출장</t>
    <phoneticPr fontId="1" type="noConversion"/>
  </si>
  <si>
    <t>4.26.(금) 12시 출장</t>
    <phoneticPr fontId="1" type="noConversion"/>
  </si>
  <si>
    <t>화법과작문</t>
    <phoneticPr fontId="1" type="noConversion"/>
  </si>
  <si>
    <t>4.25(목)-4.26.(금) 출장</t>
    <phoneticPr fontId="1" type="noConversion"/>
  </si>
  <si>
    <t>4.29.(월) 개인사정</t>
    <phoneticPr fontId="1" type="noConversion"/>
  </si>
  <si>
    <t>월, 화 근무</t>
    <phoneticPr fontId="1" type="noConversion"/>
  </si>
  <si>
    <t>보건실 및 별도시험실 운영</t>
    <phoneticPr fontId="1" type="noConversion"/>
  </si>
  <si>
    <t>사회문화</t>
    <phoneticPr fontId="39" type="noConversion"/>
  </si>
  <si>
    <t>4.26.(금) 출장</t>
    <phoneticPr fontId="1" type="noConversion"/>
  </si>
  <si>
    <t>윤리와사상/생활과윤리</t>
    <phoneticPr fontId="39" type="noConversion"/>
  </si>
  <si>
    <t>월, 화, 수 근무</t>
    <phoneticPr fontId="1" type="noConversion"/>
  </si>
  <si>
    <t>..</t>
    <phoneticPr fontId="1" type="noConversion"/>
  </si>
  <si>
    <t>합격</t>
    <phoneticPr fontId="1" type="noConversion"/>
  </si>
  <si>
    <t>불합격</t>
    <phoneticPr fontId="1" type="noConversion"/>
  </si>
  <si>
    <t>평균이상</t>
    <phoneticPr fontId="1" type="noConversion"/>
  </si>
  <si>
    <t>부장</t>
    <phoneticPr fontId="1" type="noConversion"/>
  </si>
  <si>
    <t>과장</t>
    <phoneticPr fontId="1" type="noConversion"/>
  </si>
  <si>
    <t>차장</t>
    <phoneticPr fontId="1" type="noConversion"/>
  </si>
  <si>
    <t>경영지원본부</t>
    <phoneticPr fontId="1" type="noConversion"/>
  </si>
  <si>
    <t>중부사업본부</t>
    <phoneticPr fontId="1" type="noConversion"/>
  </si>
  <si>
    <t>호남사업본부</t>
    <phoneticPr fontId="1" type="noConversion"/>
  </si>
  <si>
    <t>영남사업본부</t>
    <phoneticPr fontId="1" type="noConversion"/>
  </si>
  <si>
    <t>대리</t>
    <phoneticPr fontId="1" type="noConversion"/>
  </si>
  <si>
    <t>countifs, sumifs</t>
    <phoneticPr fontId="1" type="noConversion"/>
  </si>
  <si>
    <t>인원수</t>
    <phoneticPr fontId="1" type="noConversion"/>
  </si>
  <si>
    <t>평균이하</t>
    <phoneticPr fontId="1" type="noConversion"/>
  </si>
  <si>
    <t>총점합계</t>
    <phoneticPr fontId="1" type="noConversion"/>
  </si>
  <si>
    <t>countif</t>
    <phoneticPr fontId="1" type="noConversion"/>
  </si>
  <si>
    <t>sumif</t>
    <phoneticPr fontId="1" type="noConversion"/>
  </si>
  <si>
    <t>파일이름 알아내기</t>
    <phoneticPr fontId="1" type="noConversion"/>
  </si>
  <si>
    <t>현 시트이름 알아내기</t>
    <phoneticPr fontId="1" type="noConversion"/>
  </si>
  <si>
    <t>A열 이름으로 시트명 만들기</t>
    <phoneticPr fontId="1" type="noConversion"/>
  </si>
  <si>
    <t>피봇에서 필터로 보고서 만들기로 A열 이름으로 시트를 5개 만들고 시트이름을 시트에서 활용 보고서 발행</t>
    <phoneticPr fontId="1" type="noConversion"/>
  </si>
  <si>
    <t>1</t>
  </si>
  <si>
    <t>(모두)</t>
  </si>
  <si>
    <t>https://www.youtube.com/watch?v=bpmDJicKfMA</t>
  </si>
  <si>
    <t>참고</t>
    <phoneticPr fontId="1" type="noConversion"/>
  </si>
  <si>
    <t>WorksheetFunction.Isodd()</t>
    <phoneticPr fontId="1" type="noConversion"/>
  </si>
  <si>
    <t>모든 엑셀함수를 VBA에서 사용가능</t>
    <phoneticPr fontId="1" type="noConversion"/>
  </si>
  <si>
    <t>고객요청(이셀만 풀기)</t>
    <phoneticPr fontId="1" type="noConversion"/>
  </si>
  <si>
    <t xml:space="preserve"> </t>
    <phoneticPr fontId="1" type="noConversion"/>
  </si>
  <si>
    <t>lll</t>
    <phoneticPr fontId="1" type="noConversion"/>
  </si>
  <si>
    <t>고객등급(이셀만 막기)</t>
    <phoneticPr fontId="1" type="noConversion"/>
  </si>
  <si>
    <t>hhh</t>
    <phoneticPr fontId="1" type="noConversion"/>
  </si>
  <si>
    <t>빈셀에 데이터 입력시 자동으로 테두리가 채워짐: 조건부서식 =$b8&lt;&gt;""  서식넣기</t>
    <phoneticPr fontId="1" type="noConversion"/>
  </si>
  <si>
    <t>조영종</t>
    <phoneticPr fontId="1" type="noConversion"/>
  </si>
  <si>
    <t>서울시
종로구 관철동 258 구몬빌딩 10층</t>
    <phoneticPr fontId="1" type="noConversion"/>
  </si>
  <si>
    <t>정사랑</t>
    <phoneticPr fontId="1" type="noConversion"/>
  </si>
  <si>
    <t>유미</t>
    <phoneticPr fontId="1" type="noConversion"/>
  </si>
  <si>
    <t>백해룡</t>
    <phoneticPr fontId="1" type="noConversion"/>
  </si>
  <si>
    <t>김철수</t>
    <phoneticPr fontId="1" type="noConversion"/>
  </si>
  <si>
    <t>700101-1658820</t>
    <phoneticPr fontId="1" type="noConversion"/>
  </si>
  <si>
    <t>700101-1658825</t>
  </si>
  <si>
    <t>700101-1658826</t>
  </si>
  <si>
    <t>700101-1658827</t>
  </si>
  <si>
    <t>700101-1658828</t>
  </si>
  <si>
    <t>700101-1658829</t>
  </si>
  <si>
    <t>700101-1658830</t>
  </si>
  <si>
    <t>700101-1658831</t>
  </si>
  <si>
    <t>700101-1658832</t>
  </si>
  <si>
    <t>700101-1658833</t>
  </si>
  <si>
    <t>700101-1658834</t>
  </si>
  <si>
    <t>700101-1658835</t>
  </si>
  <si>
    <t>700101-1658836</t>
  </si>
  <si>
    <t>700101-1658837</t>
  </si>
  <si>
    <t>700101-1658838</t>
  </si>
  <si>
    <t>700101-1658839</t>
  </si>
  <si>
    <t>700101-1658840</t>
  </si>
  <si>
    <t>700101-1658841</t>
  </si>
  <si>
    <t>700101-1658842</t>
  </si>
  <si>
    <t>700101-1658843</t>
  </si>
  <si>
    <t>700101-1658844</t>
  </si>
  <si>
    <t>700101-1658845</t>
  </si>
  <si>
    <t>700101-1658846</t>
  </si>
  <si>
    <t>700101-1658847</t>
  </si>
  <si>
    <t>700101-1658848</t>
  </si>
  <si>
    <t>700101-1658849</t>
  </si>
  <si>
    <t>700101-1658850</t>
  </si>
  <si>
    <t>700101-1658851</t>
  </si>
  <si>
    <t>700101-1658852</t>
  </si>
  <si>
    <t>700101-1658853</t>
  </si>
  <si>
    <t>700101-1658854</t>
  </si>
  <si>
    <t>700101-1658855</t>
  </si>
  <si>
    <t>700101-1658856</t>
  </si>
  <si>
    <t>700101-1658857</t>
  </si>
  <si>
    <t>700101-1658858</t>
  </si>
  <si>
    <t>700101-1658859</t>
  </si>
  <si>
    <t>700101-1658860</t>
  </si>
  <si>
    <t>700101-1658861</t>
  </si>
  <si>
    <t>700101-1658862</t>
  </si>
  <si>
    <t>700101-1658863</t>
  </si>
  <si>
    <t>700101-1658864</t>
  </si>
  <si>
    <t>700101-1658865</t>
  </si>
  <si>
    <t>700101-1658866</t>
  </si>
  <si>
    <t>700101-1658867</t>
  </si>
  <si>
    <t>700101-1658868</t>
  </si>
  <si>
    <t>700101-1658869</t>
  </si>
  <si>
    <t>700101-1658870</t>
  </si>
  <si>
    <t>700101-1658871</t>
  </si>
  <si>
    <t>700101-1658872</t>
  </si>
  <si>
    <t>700101-1658873</t>
  </si>
  <si>
    <t>700101-1658874</t>
  </si>
  <si>
    <t>700101-1658875</t>
  </si>
  <si>
    <t>700101-1658876</t>
  </si>
  <si>
    <t>700101-1658877</t>
  </si>
  <si>
    <t>700101-1658878</t>
  </si>
  <si>
    <t>700101-1658879</t>
  </si>
  <si>
    <t>700101-1658880</t>
  </si>
  <si>
    <t>700101-1658881</t>
  </si>
  <si>
    <t>700101-1658882</t>
  </si>
  <si>
    <t>700101-1658883</t>
  </si>
  <si>
    <t>700101-1658884</t>
  </si>
  <si>
    <t>700101-1658885</t>
  </si>
  <si>
    <t>700101-1658886</t>
  </si>
  <si>
    <t>700101-1658887</t>
  </si>
  <si>
    <t>700101-1658888</t>
  </si>
  <si>
    <t>700101-1658889</t>
  </si>
  <si>
    <t>700101-1658890</t>
  </si>
  <si>
    <t>700101-1658891</t>
  </si>
  <si>
    <t>700101-1658892</t>
  </si>
  <si>
    <t>700101-1658893</t>
  </si>
  <si>
    <t>700101-1658894</t>
  </si>
  <si>
    <t>700101-1658895</t>
  </si>
  <si>
    <t>700101-1658896</t>
  </si>
  <si>
    <t>700101-1658897</t>
  </si>
  <si>
    <t>700101-1658898</t>
  </si>
  <si>
    <t>700101-1658899</t>
  </si>
  <si>
    <t>700101-1658900</t>
  </si>
  <si>
    <t>700101-1658901</t>
  </si>
  <si>
    <t>700101-1658902</t>
  </si>
  <si>
    <t>700101-1658903</t>
  </si>
  <si>
    <t>700101-1658904</t>
  </si>
  <si>
    <t>700101-1658905</t>
  </si>
  <si>
    <t>700101-1658906</t>
  </si>
  <si>
    <t>700101-1658907</t>
  </si>
  <si>
    <t>700101-1658908</t>
  </si>
  <si>
    <t>700101-1658909</t>
  </si>
  <si>
    <t>700101-1658910</t>
  </si>
  <si>
    <t>700101-1658911</t>
  </si>
  <si>
    <t>700101-1658912</t>
  </si>
  <si>
    <t>700101-1658913</t>
  </si>
  <si>
    <t>700101-1658914</t>
  </si>
  <si>
    <t>700101-1658915</t>
  </si>
  <si>
    <t>700101-1658916</t>
  </si>
  <si>
    <t>700101-1658917</t>
  </si>
  <si>
    <t>700101-1658918</t>
  </si>
  <si>
    <t>700101-1658919</t>
  </si>
  <si>
    <t>700101-1658920</t>
  </si>
  <si>
    <t>700101-1658921</t>
  </si>
  <si>
    <t>700101-1658922</t>
  </si>
  <si>
    <t>700101-1658923</t>
  </si>
  <si>
    <t>700101-1658924</t>
  </si>
  <si>
    <t>700101-1658925</t>
  </si>
  <si>
    <t>700101-1658926</t>
  </si>
  <si>
    <t>700101-1658927</t>
  </si>
  <si>
    <t>700101-1658928</t>
  </si>
  <si>
    <t>700101-1658929</t>
  </si>
  <si>
    <t>700101-1658930</t>
  </si>
  <si>
    <t>700101-1658931</t>
  </si>
  <si>
    <t>700101-1658932</t>
  </si>
  <si>
    <t>700101-1658933</t>
  </si>
  <si>
    <t>700101-1658934</t>
  </si>
  <si>
    <t>700101-1658935</t>
  </si>
  <si>
    <t>700101-1658936</t>
  </si>
  <si>
    <t>700101-1658937</t>
  </si>
  <si>
    <t>700101-1658938</t>
  </si>
  <si>
    <t>700101-1658939</t>
  </si>
  <si>
    <t>700101-1658940</t>
  </si>
  <si>
    <t>700101-1658941</t>
  </si>
  <si>
    <t>700101-1658942</t>
  </si>
  <si>
    <t>700101-1658943</t>
  </si>
  <si>
    <t>700101-1658944</t>
  </si>
  <si>
    <t>700101-1658945</t>
  </si>
  <si>
    <t>700101-1658946</t>
  </si>
  <si>
    <t>700101-1658947</t>
  </si>
  <si>
    <t>700101-1658948</t>
  </si>
  <si>
    <t>700101-1658949</t>
  </si>
  <si>
    <t>700101-1658950</t>
  </si>
  <si>
    <t>700101-1658951</t>
  </si>
  <si>
    <t>700101-1658952</t>
  </si>
  <si>
    <t>700101-1658953</t>
  </si>
  <si>
    <t>700101-1658954</t>
  </si>
  <si>
    <t>700101-1658955</t>
  </si>
  <si>
    <t>700101-1658956</t>
  </si>
  <si>
    <t>700101-1658957</t>
  </si>
  <si>
    <t>700101-1658958</t>
  </si>
  <si>
    <t>700101-1658959</t>
  </si>
  <si>
    <t>700101-1658960</t>
  </si>
  <si>
    <t>700101-1658961</t>
  </si>
  <si>
    <t>700101-1658962</t>
  </si>
  <si>
    <t>700101-1658963</t>
  </si>
  <si>
    <t>700101-1658964</t>
  </si>
  <si>
    <t>700101-1658965</t>
  </si>
  <si>
    <t>700101-1658966</t>
  </si>
  <si>
    <t>700101-1658967</t>
  </si>
  <si>
    <t>700101-1658968</t>
  </si>
  <si>
    <t>700101-1658969</t>
  </si>
  <si>
    <t>700101-1658970</t>
  </si>
  <si>
    <t>700101-1658971</t>
  </si>
  <si>
    <t>700101-1658972</t>
  </si>
  <si>
    <t>700101-1658973</t>
  </si>
  <si>
    <t>700101-1658974</t>
  </si>
  <si>
    <t>700101-1658975</t>
  </si>
  <si>
    <t>700101-1658976</t>
  </si>
  <si>
    <t>700101-1658977</t>
  </si>
  <si>
    <t>700101-1658978</t>
  </si>
  <si>
    <t>700101-1658979</t>
  </si>
  <si>
    <t>700101-1658980</t>
  </si>
  <si>
    <t>700101-1658981</t>
  </si>
  <si>
    <t>700101-1658982</t>
  </si>
  <si>
    <t>700101-1658983</t>
  </si>
  <si>
    <t>700101-1658984</t>
  </si>
  <si>
    <t>700101-1658985</t>
  </si>
  <si>
    <t>700101-1658986</t>
  </si>
  <si>
    <t>700101-1658987</t>
  </si>
  <si>
    <t>700101-1658988</t>
  </si>
  <si>
    <t>700101-1658989</t>
  </si>
  <si>
    <t>700101-1658990</t>
  </si>
  <si>
    <t>700101-1658991</t>
  </si>
  <si>
    <t>700101-1658992</t>
  </si>
  <si>
    <t>700101-1658993</t>
  </si>
  <si>
    <t>700101-1658994</t>
  </si>
  <si>
    <t>700101-1658995</t>
  </si>
  <si>
    <t>700101-1658996</t>
  </si>
  <si>
    <t>700101-1658997</t>
  </si>
  <si>
    <t>700101-1658998</t>
  </si>
  <si>
    <t>700101-1658999</t>
  </si>
  <si>
    <t>700101-1659000</t>
  </si>
  <si>
    <t>700101-1659001</t>
  </si>
  <si>
    <t>700101-1659002</t>
  </si>
  <si>
    <t>700101-1659003</t>
  </si>
  <si>
    <t>700101-1659004</t>
  </si>
  <si>
    <t>700101-1659005</t>
  </si>
  <si>
    <t>700101-1659006</t>
  </si>
  <si>
    <t>700101-1659007</t>
  </si>
  <si>
    <t>700101-1659008</t>
  </si>
  <si>
    <t>700101-1659009</t>
  </si>
  <si>
    <t>700101-1659010</t>
  </si>
  <si>
    <t>700101-1659011</t>
  </si>
  <si>
    <t>700101-1659012</t>
  </si>
  <si>
    <t>700101-1659013</t>
  </si>
  <si>
    <t>700101-1659014</t>
  </si>
  <si>
    <t>700101-1659015</t>
  </si>
  <si>
    <t>700101-1659016</t>
  </si>
  <si>
    <t>700101-1659017</t>
  </si>
  <si>
    <t>700101-1659018</t>
  </si>
  <si>
    <t>700101-1659019</t>
  </si>
  <si>
    <t>700101-1659020</t>
  </si>
  <si>
    <t>700101-1659021</t>
  </si>
  <si>
    <t>700101-1659022</t>
  </si>
  <si>
    <t>700101-1659023</t>
  </si>
  <si>
    <t>700101-1659024</t>
  </si>
  <si>
    <t>700101-1659025</t>
  </si>
  <si>
    <t>700101-1659026</t>
  </si>
  <si>
    <t>700101-1659027</t>
  </si>
  <si>
    <t>700101-1659028</t>
  </si>
  <si>
    <t>700101-1659029</t>
  </si>
  <si>
    <t>700101-1659030</t>
  </si>
  <si>
    <t>700101-1659031</t>
  </si>
  <si>
    <t>700101-1659032</t>
  </si>
  <si>
    <t>700101-1659033</t>
  </si>
  <si>
    <t>700101-1659034</t>
  </si>
  <si>
    <t>700101-1659035</t>
  </si>
  <si>
    <t>700101-1659036</t>
  </si>
  <si>
    <t>700101-1659037</t>
  </si>
  <si>
    <t>700101-1659038</t>
  </si>
  <si>
    <t>700101-1659039</t>
  </si>
  <si>
    <t>700101-1659040</t>
  </si>
  <si>
    <t>700101-1659041</t>
  </si>
  <si>
    <t>700101-1659042</t>
  </si>
  <si>
    <t>700101-1659043</t>
  </si>
  <si>
    <t>700101-1659044</t>
  </si>
  <si>
    <t>700101-1659045</t>
  </si>
  <si>
    <t>700101-1659046</t>
  </si>
  <si>
    <t>700101-1659047</t>
  </si>
  <si>
    <t>700101-1659048</t>
  </si>
  <si>
    <t>700101-1659049</t>
  </si>
  <si>
    <t>700101-1659050</t>
  </si>
  <si>
    <t>700101-1659051</t>
  </si>
  <si>
    <t>700101-1659052</t>
  </si>
  <si>
    <t>700101-1659053</t>
  </si>
  <si>
    <t>700101-1659054</t>
  </si>
  <si>
    <t>700101-1659055</t>
  </si>
  <si>
    <t>700101-1659056</t>
  </si>
  <si>
    <t>700101-1659057</t>
  </si>
  <si>
    <t>700101-1659058</t>
  </si>
  <si>
    <t>700101-1659059</t>
  </si>
  <si>
    <t>700101-1659060</t>
  </si>
  <si>
    <t>700101-1659061</t>
  </si>
  <si>
    <t>700101-1659062</t>
  </si>
  <si>
    <t>700101-1659063</t>
  </si>
  <si>
    <t>700101-1659064</t>
  </si>
  <si>
    <t>700101-1659065</t>
  </si>
  <si>
    <t>700101-1659066</t>
  </si>
  <si>
    <t>700101-1659067</t>
  </si>
  <si>
    <t>700101-1659068</t>
  </si>
  <si>
    <t>700101-1659069</t>
  </si>
  <si>
    <t>700101-1659070</t>
  </si>
  <si>
    <t>700101-1659071</t>
  </si>
  <si>
    <t>700101-1659072</t>
  </si>
  <si>
    <t>700101-1659073</t>
  </si>
  <si>
    <t>700101-1659074</t>
  </si>
  <si>
    <t>700101-1659075</t>
  </si>
  <si>
    <t>700101-1659076</t>
  </si>
  <si>
    <t>700101-1659077</t>
  </si>
  <si>
    <t>700101-1659078</t>
  </si>
  <si>
    <t>700101-1659079</t>
  </si>
  <si>
    <t>700101-1659080</t>
  </si>
  <si>
    <t>700101-1659081</t>
  </si>
  <si>
    <t>700101-1659082</t>
  </si>
  <si>
    <t>700101-1659083</t>
  </si>
  <si>
    <t>700101-1659084</t>
  </si>
  <si>
    <t>700101-1659085</t>
  </si>
  <si>
    <t>700101-1659086</t>
  </si>
  <si>
    <t>700101-1659087</t>
  </si>
  <si>
    <t>700101-1659088</t>
  </si>
  <si>
    <t>700101-1659089</t>
  </si>
  <si>
    <t>700101-1659090</t>
  </si>
  <si>
    <t>700101-1659091</t>
  </si>
  <si>
    <t>700101-1659092</t>
  </si>
  <si>
    <t>700101-1659093</t>
  </si>
  <si>
    <t>700101-1659094</t>
  </si>
  <si>
    <t>700101-1659095</t>
  </si>
  <si>
    <t>700101-1659096</t>
  </si>
  <si>
    <t>700101-1659097</t>
  </si>
  <si>
    <t>700101-1659098</t>
  </si>
  <si>
    <t>700101-1659099</t>
  </si>
  <si>
    <t>700101-1659100</t>
  </si>
  <si>
    <t>700101-1659101</t>
  </si>
  <si>
    <t>700101-1659102</t>
  </si>
  <si>
    <t>700101-1659103</t>
  </si>
  <si>
    <t>700101-1659104</t>
  </si>
  <si>
    <t>700101-1659105</t>
  </si>
  <si>
    <t>700101-1659106</t>
  </si>
  <si>
    <t>700101-1659107</t>
  </si>
  <si>
    <t>700101-1659108</t>
  </si>
  <si>
    <t>700101-1659109</t>
  </si>
  <si>
    <t>700101-1659110</t>
  </si>
  <si>
    <t>700101-1659111</t>
  </si>
  <si>
    <t>700101-1659112</t>
  </si>
  <si>
    <t>700101-1659113</t>
  </si>
  <si>
    <t>700101-1659114</t>
  </si>
  <si>
    <t>700101-1659115</t>
  </si>
  <si>
    <t>700101-1659116</t>
  </si>
  <si>
    <t>700101-1659117</t>
  </si>
  <si>
    <t>700101-1659118</t>
  </si>
  <si>
    <t>700101-1659119</t>
  </si>
  <si>
    <t>700101-1659120</t>
  </si>
  <si>
    <t>700101-1659121</t>
  </si>
  <si>
    <t>700101-1659122</t>
  </si>
  <si>
    <t>700101-1659123</t>
  </si>
  <si>
    <t>700101-1659124</t>
  </si>
  <si>
    <t>700101-1659125</t>
  </si>
  <si>
    <t>700101-1659126</t>
  </si>
  <si>
    <t>700101-1659127</t>
  </si>
  <si>
    <t>700101-1659128</t>
  </si>
  <si>
    <t>700101-1659129</t>
  </si>
  <si>
    <t>700101-1659130</t>
  </si>
  <si>
    <t>700101-1659131</t>
  </si>
  <si>
    <t>700101-1659132</t>
  </si>
  <si>
    <t>700101-1659133</t>
  </si>
  <si>
    <t>700101-1659134</t>
  </si>
  <si>
    <t>700101-1659135</t>
  </si>
  <si>
    <t>700101-1659136</t>
  </si>
  <si>
    <t>700101-1659137</t>
  </si>
  <si>
    <t>700101-1659138</t>
  </si>
  <si>
    <t>700101-1659139</t>
  </si>
  <si>
    <t>700101-1659140</t>
  </si>
  <si>
    <t>700101-1659141</t>
  </si>
  <si>
    <t>700101-1659142</t>
  </si>
  <si>
    <t>700101-1659143</t>
  </si>
  <si>
    <t>700101-1659144</t>
  </si>
  <si>
    <t>700101-1659145</t>
  </si>
  <si>
    <t>700101-1659146</t>
  </si>
  <si>
    <t>700101-1659147</t>
  </si>
  <si>
    <t>700101-1659148</t>
  </si>
  <si>
    <t>700101-1659149</t>
  </si>
  <si>
    <t>700101-1659150</t>
  </si>
  <si>
    <t>700101-1659151</t>
  </si>
  <si>
    <t>700101-1659152</t>
  </si>
  <si>
    <t>700101-1659153</t>
  </si>
  <si>
    <t>700101-1659154</t>
  </si>
  <si>
    <t>700101-1659155</t>
  </si>
  <si>
    <t>700101-1659156</t>
  </si>
  <si>
    <t>700101-1659157</t>
  </si>
  <si>
    <t>700101-1659158</t>
  </si>
  <si>
    <t>700101-1659159</t>
  </si>
  <si>
    <t>700101-1659160</t>
  </si>
  <si>
    <t>700101-1659161</t>
  </si>
  <si>
    <t>700101-1659162</t>
  </si>
  <si>
    <t>700101-1659163</t>
  </si>
  <si>
    <t>700101-1659164</t>
  </si>
  <si>
    <t>700101-1659165</t>
  </si>
  <si>
    <t>700101-1659166</t>
  </si>
  <si>
    <t>700101-1659167</t>
  </si>
  <si>
    <t>700101-1659168</t>
  </si>
  <si>
    <t>700101-1659169</t>
  </si>
  <si>
    <t>700101-1659170</t>
  </si>
  <si>
    <t>700101-1659171</t>
  </si>
  <si>
    <t>700101-1659172</t>
  </si>
  <si>
    <t>700101-1659173</t>
  </si>
  <si>
    <t>700101-1659174</t>
  </si>
  <si>
    <t>700101-1659175</t>
  </si>
  <si>
    <t>700101-1659176</t>
  </si>
  <si>
    <t>700101-1659177</t>
  </si>
  <si>
    <t>700101-1659178</t>
  </si>
  <si>
    <t>700101-1659179</t>
  </si>
  <si>
    <t>700101-1659180</t>
  </si>
  <si>
    <t>700101-1659181</t>
  </si>
  <si>
    <t>700101-1659182</t>
  </si>
  <si>
    <t>700101-1659183</t>
  </si>
  <si>
    <t>700101-1659184</t>
  </si>
  <si>
    <t>700101-1659185</t>
  </si>
  <si>
    <t>700101-1659186</t>
  </si>
  <si>
    <t>700101-1659187</t>
  </si>
  <si>
    <t>700101-1659188</t>
  </si>
  <si>
    <t>700101-1659189</t>
  </si>
  <si>
    <t>700101-1659190</t>
  </si>
  <si>
    <t>700101-1659191</t>
  </si>
  <si>
    <t>700101-1659192</t>
  </si>
  <si>
    <t>700101-1659193</t>
  </si>
  <si>
    <t>700101-1659194</t>
  </si>
  <si>
    <t>700101-1659195</t>
  </si>
  <si>
    <t>700101-1659196</t>
  </si>
  <si>
    <t>700101-1659197</t>
  </si>
  <si>
    <t>700101-1659198</t>
  </si>
  <si>
    <t>700101-1659199</t>
  </si>
  <si>
    <t>700101-1659200</t>
  </si>
  <si>
    <t>700101-1659201</t>
  </si>
  <si>
    <t>700101-1659202</t>
  </si>
  <si>
    <t>700101-1659203</t>
  </si>
  <si>
    <t>700101-1659204</t>
  </si>
  <si>
    <t>700101-1659205</t>
  </si>
  <si>
    <t>700101-1659206</t>
  </si>
  <si>
    <t>700101-1659207</t>
  </si>
  <si>
    <t>700101-1659208</t>
  </si>
  <si>
    <t>700101-1659209</t>
  </si>
  <si>
    <t>700101-1659210</t>
  </si>
  <si>
    <t>700101-1659211</t>
  </si>
  <si>
    <t>700101-1659212</t>
  </si>
  <si>
    <t>700101-1659213</t>
  </si>
  <si>
    <t>700101-1659214</t>
  </si>
  <si>
    <t>700101-1659215</t>
  </si>
  <si>
    <t>700101-1659216</t>
  </si>
  <si>
    <t>700101-1659217</t>
  </si>
  <si>
    <t>700101-1659218</t>
  </si>
  <si>
    <t>700101-1659219</t>
  </si>
  <si>
    <t>700101-1659220</t>
  </si>
  <si>
    <t>700101-1659221</t>
  </si>
  <si>
    <t>700101-1659222</t>
  </si>
  <si>
    <t>700101-1659223</t>
  </si>
  <si>
    <t>700101-1659224</t>
  </si>
  <si>
    <t>700101-1659225</t>
  </si>
  <si>
    <t>700101-1659226</t>
  </si>
  <si>
    <t>700101-1659227</t>
  </si>
  <si>
    <t>700101-1659228</t>
  </si>
  <si>
    <t>700101-1659229</t>
  </si>
  <si>
    <t>700101-1659230</t>
  </si>
  <si>
    <t>700101-1659231</t>
  </si>
  <si>
    <t>700101-1659232</t>
  </si>
  <si>
    <t>700101-1659233</t>
  </si>
  <si>
    <t>700101-1659234</t>
  </si>
  <si>
    <t>700101-1659235</t>
  </si>
  <si>
    <t>700101-1659236</t>
  </si>
  <si>
    <t>700101-1659237</t>
  </si>
  <si>
    <t>700101-1659238</t>
  </si>
  <si>
    <t>700101-1659239</t>
  </si>
  <si>
    <t>700101-1659240</t>
  </si>
  <si>
    <t>700101-1659241</t>
  </si>
  <si>
    <t>700101-1659242</t>
  </si>
  <si>
    <t>700101-1659243</t>
  </si>
  <si>
    <t>700101-1659244</t>
  </si>
  <si>
    <t>700101-1659245</t>
  </si>
  <si>
    <t>700101-1659246</t>
  </si>
  <si>
    <t>700101-1659247</t>
  </si>
  <si>
    <t>700101-1659248</t>
  </si>
  <si>
    <t>700101-1659249</t>
  </si>
  <si>
    <t>700101-1659250</t>
  </si>
  <si>
    <t>700101-1659251</t>
  </si>
  <si>
    <t>700101-1659252</t>
  </si>
  <si>
    <t>700101-1659253</t>
  </si>
  <si>
    <t>700101-1659254</t>
  </si>
  <si>
    <t>700101-1659255</t>
  </si>
  <si>
    <t>700101-1659256</t>
  </si>
  <si>
    <t>700101-1659257</t>
  </si>
  <si>
    <t>700101-1659258</t>
  </si>
  <si>
    <t>700101-1659259</t>
  </si>
  <si>
    <t>700101-1659260</t>
  </si>
  <si>
    <t>700101-1659261</t>
  </si>
  <si>
    <t>700101-1659262</t>
  </si>
  <si>
    <t>700101-1659263</t>
  </si>
  <si>
    <t>700101-1659264</t>
  </si>
  <si>
    <t>700101-1659265</t>
  </si>
  <si>
    <t>700101-1659266</t>
  </si>
  <si>
    <t>700101-1659267</t>
  </si>
  <si>
    <t>700101-1659268</t>
  </si>
  <si>
    <t>700101-1659269</t>
  </si>
  <si>
    <t>700101-1659270</t>
  </si>
  <si>
    <t>700101-1659271</t>
  </si>
  <si>
    <t>700101-1659272</t>
  </si>
  <si>
    <t>700101-1659273</t>
  </si>
  <si>
    <t>700101-1659274</t>
  </si>
  <si>
    <t>700101-1659275</t>
  </si>
  <si>
    <t>700101-1659276</t>
  </si>
  <si>
    <t>700101-1659277</t>
  </si>
  <si>
    <t>700101-1659278</t>
  </si>
  <si>
    <t>700101-1659279</t>
  </si>
  <si>
    <t>700101-1659280</t>
  </si>
  <si>
    <t>700101-1659281</t>
  </si>
  <si>
    <t>700101-1659282</t>
  </si>
  <si>
    <t>700101-1659283</t>
  </si>
  <si>
    <t>700101-1659284</t>
  </si>
  <si>
    <t>700101-1659285</t>
  </si>
  <si>
    <t>700101-1659286</t>
  </si>
  <si>
    <t>700101-1659287</t>
  </si>
  <si>
    <t>700101-1659288</t>
  </si>
  <si>
    <t>700101-1659289</t>
  </si>
  <si>
    <t>700101-1659290</t>
  </si>
  <si>
    <t>700101-1659291</t>
  </si>
  <si>
    <t>700101-1659292</t>
  </si>
  <si>
    <t>700101-1659293</t>
  </si>
  <si>
    <t>700101-1659294</t>
  </si>
  <si>
    <t>700101-1659295</t>
  </si>
  <si>
    <t>700101-1659296</t>
  </si>
  <si>
    <t>700101-1659297</t>
  </si>
  <si>
    <t>700101-1659298</t>
  </si>
  <si>
    <t>700101-1659299</t>
  </si>
  <si>
    <t>700101-1659300</t>
  </si>
  <si>
    <t>700101-1659301</t>
  </si>
  <si>
    <t>700101-1659302</t>
  </si>
  <si>
    <t>700101-1659303</t>
  </si>
  <si>
    <t>700101-1659304</t>
  </si>
  <si>
    <t>700101-1659305</t>
  </si>
  <si>
    <t>700101-1659306</t>
  </si>
  <si>
    <t>700101-1659307</t>
  </si>
  <si>
    <t>700101-1659308</t>
  </si>
  <si>
    <t>700101-1659309</t>
  </si>
  <si>
    <t>700101-1659310</t>
  </si>
  <si>
    <t>700101-1659311</t>
  </si>
  <si>
    <t>700101-1659312</t>
  </si>
  <si>
    <t>700101-1659313</t>
  </si>
  <si>
    <t>700101-1659314</t>
  </si>
  <si>
    <t>700101-1659315</t>
  </si>
  <si>
    <t>700101-1659316</t>
  </si>
  <si>
    <t>700101-1659317</t>
  </si>
  <si>
    <t>700101-1659318</t>
  </si>
  <si>
    <t>700101-1659319</t>
  </si>
  <si>
    <t>700101-1659320</t>
  </si>
  <si>
    <t>700101-1659321</t>
  </si>
  <si>
    <t>700101-1659322</t>
  </si>
  <si>
    <t>700101-1659323</t>
  </si>
  <si>
    <t>700101-1659324</t>
  </si>
  <si>
    <t>700101-1659325</t>
  </si>
  <si>
    <t>700101-1659326</t>
  </si>
  <si>
    <t>700101-1659327</t>
  </si>
  <si>
    <t>700101-1659328</t>
  </si>
  <si>
    <t>700101-1659329</t>
  </si>
  <si>
    <t>700101-1659330</t>
  </si>
  <si>
    <t>700101-1659331</t>
  </si>
  <si>
    <t>700101-1659332</t>
  </si>
  <si>
    <t>700101-1659333</t>
  </si>
  <si>
    <t>700101-1659334</t>
  </si>
  <si>
    <t>700101-1659335</t>
  </si>
  <si>
    <t>700101-1659336</t>
  </si>
  <si>
    <t>700101-1659337</t>
  </si>
  <si>
    <t>700101-1659338</t>
  </si>
  <si>
    <t>700101-1659339</t>
  </si>
  <si>
    <t>700101-1659340</t>
  </si>
  <si>
    <t>700101-1659341</t>
  </si>
  <si>
    <t>700101-1659342</t>
  </si>
  <si>
    <t>700101-1659343</t>
  </si>
  <si>
    <t>700101-1659344</t>
  </si>
  <si>
    <t>700101-1659345</t>
  </si>
  <si>
    <t>700101-1659346</t>
  </si>
  <si>
    <t>700101-1659347</t>
  </si>
  <si>
    <t>700101-1659348</t>
  </si>
  <si>
    <t>700101-1659349</t>
  </si>
  <si>
    <t>700101-1659350</t>
  </si>
  <si>
    <t>700101-1659351</t>
  </si>
  <si>
    <t>700101-1659352</t>
  </si>
  <si>
    <t>700101-1659353</t>
  </si>
  <si>
    <t>700101-1659354</t>
  </si>
  <si>
    <t>700101-1659355</t>
  </si>
  <si>
    <t>700101-1659356</t>
  </si>
  <si>
    <t>700101-1659357</t>
  </si>
  <si>
    <t>700101-1659358</t>
  </si>
  <si>
    <t>700101-1659359</t>
  </si>
  <si>
    <t>700101-1659360</t>
  </si>
  <si>
    <t>700101-1659361</t>
  </si>
  <si>
    <t>700101-1659362</t>
  </si>
  <si>
    <t>700101-1659363</t>
  </si>
  <si>
    <t>700101-1659364</t>
  </si>
  <si>
    <t>700101-1659365</t>
  </si>
  <si>
    <t>700101-1659366</t>
  </si>
  <si>
    <t>700101-1659367</t>
  </si>
  <si>
    <t>700101-1659368</t>
  </si>
  <si>
    <t>700101-1659369</t>
  </si>
  <si>
    <t>700101-1659370</t>
  </si>
  <si>
    <t>700101-1659371</t>
  </si>
  <si>
    <t>700101-1659372</t>
  </si>
  <si>
    <t>700101-1659373</t>
  </si>
  <si>
    <t>700101-1659374</t>
  </si>
  <si>
    <t>700101-1659375</t>
  </si>
  <si>
    <t>700101-1659376</t>
  </si>
  <si>
    <t>700101-1659377</t>
  </si>
  <si>
    <t>700101-1659378</t>
  </si>
  <si>
    <t>700101-1659379</t>
  </si>
  <si>
    <t>700101-1659380</t>
  </si>
  <si>
    <t>700101-1659381</t>
  </si>
  <si>
    <t>700101-1659382</t>
  </si>
  <si>
    <t>700101-1659383</t>
  </si>
  <si>
    <t>700101-1659384</t>
  </si>
  <si>
    <t>700101-1659385</t>
  </si>
  <si>
    <t>700101-1659386</t>
  </si>
  <si>
    <t>700101-1659387</t>
  </si>
  <si>
    <t>700101-1659388</t>
  </si>
  <si>
    <t>700101-1659389</t>
  </si>
  <si>
    <t>700101-1659390</t>
  </si>
  <si>
    <t>700101-1659391</t>
  </si>
  <si>
    <t>700101-1659392</t>
  </si>
  <si>
    <t>700101-1659393</t>
  </si>
  <si>
    <t>700101-1659394</t>
  </si>
  <si>
    <t>700101-1659395</t>
  </si>
  <si>
    <t>700101-1659396</t>
  </si>
  <si>
    <t>700101-1659397</t>
  </si>
  <si>
    <t>700101-1659398</t>
  </si>
  <si>
    <t>700101-1659399</t>
  </si>
  <si>
    <t>700101-1659400</t>
  </si>
  <si>
    <t>700101-1659401</t>
  </si>
  <si>
    <t>700101-1659402</t>
  </si>
  <si>
    <t>700101-1659403</t>
  </si>
  <si>
    <t>700101-1659404</t>
  </si>
  <si>
    <t>700101-1659405</t>
  </si>
  <si>
    <t>700101-1659406</t>
  </si>
  <si>
    <t>700101-1659407</t>
  </si>
  <si>
    <t>700101-1659408</t>
  </si>
  <si>
    <t>700101-1659409</t>
  </si>
  <si>
    <t>700101-1659410</t>
  </si>
  <si>
    <t>700101-1659411</t>
  </si>
  <si>
    <t>700101-1659412</t>
  </si>
  <si>
    <t>700101-1659413</t>
  </si>
  <si>
    <t>700101-1659414</t>
  </si>
  <si>
    <t>700101-1659415</t>
  </si>
  <si>
    <t>700101-1659416</t>
  </si>
  <si>
    <t>700101-1659417</t>
  </si>
  <si>
    <t>700101-1659418</t>
  </si>
  <si>
    <t>700101-1659419</t>
  </si>
  <si>
    <t>700101-1659420</t>
  </si>
  <si>
    <t>700101-1659421</t>
  </si>
  <si>
    <t>700101-1659422</t>
  </si>
  <si>
    <t>700101-1659423</t>
  </si>
  <si>
    <t>700101-1659424</t>
  </si>
  <si>
    <t>700101-1659425</t>
  </si>
  <si>
    <t>700101-1659426</t>
  </si>
  <si>
    <t>700101-1659427</t>
  </si>
  <si>
    <t>700101-1659428</t>
  </si>
  <si>
    <t>700101-1659429</t>
  </si>
  <si>
    <t>700101-1659430</t>
  </si>
  <si>
    <t>700101-1659431</t>
  </si>
  <si>
    <t>700101-1659432</t>
  </si>
  <si>
    <t>700101-1659433</t>
  </si>
  <si>
    <t>700101-1659434</t>
  </si>
  <si>
    <t>700101-1659435</t>
  </si>
  <si>
    <t>700101-1659436</t>
  </si>
  <si>
    <t>700101-1659437</t>
  </si>
  <si>
    <t>700101-1659438</t>
  </si>
  <si>
    <t>700101-1659439</t>
  </si>
  <si>
    <t>700101-1659440</t>
  </si>
  <si>
    <t>700101-1659441</t>
  </si>
  <si>
    <t>700101-1659442</t>
  </si>
  <si>
    <t>700101-1659443</t>
  </si>
  <si>
    <t>700101-1659444</t>
  </si>
  <si>
    <t>700101-1659445</t>
  </si>
  <si>
    <t>700101-1659446</t>
  </si>
  <si>
    <t>700101-1659447</t>
  </si>
  <si>
    <t>700101-1659448</t>
  </si>
  <si>
    <t>700101-1659449</t>
  </si>
  <si>
    <t>700101-1659450</t>
  </si>
  <si>
    <t>700101-1659451</t>
  </si>
  <si>
    <t>700101-1659452</t>
  </si>
  <si>
    <t>700101-1659453</t>
  </si>
  <si>
    <t>700101-1659454</t>
  </si>
  <si>
    <t>700101-1659455</t>
  </si>
  <si>
    <t>700101-1659456</t>
  </si>
  <si>
    <t>700101-1659457</t>
  </si>
  <si>
    <t>700101-1659458</t>
  </si>
  <si>
    <t>700101-1659459</t>
  </si>
  <si>
    <t>700101-1659460</t>
  </si>
  <si>
    <t>700101-1659461</t>
  </si>
  <si>
    <t>700101-1659462</t>
  </si>
  <si>
    <t>700101-1659463</t>
  </si>
  <si>
    <t>700101-1659464</t>
  </si>
  <si>
    <t>700101-1659465</t>
  </si>
  <si>
    <t>700101-1659466</t>
  </si>
  <si>
    <t>700101-1659467</t>
  </si>
  <si>
    <t>700101-1659468</t>
  </si>
  <si>
    <t>700101-1659469</t>
  </si>
  <si>
    <t>700101-1659470</t>
  </si>
  <si>
    <t>700101-1659471</t>
  </si>
  <si>
    <t>700101-1659472</t>
  </si>
  <si>
    <t>700101-1659473</t>
  </si>
  <si>
    <t>700101-1659474</t>
  </si>
  <si>
    <t>700101-1659475</t>
  </si>
  <si>
    <t>700101-1659476</t>
  </si>
  <si>
    <t>700101-1659477</t>
  </si>
  <si>
    <t>700101-1659478</t>
  </si>
  <si>
    <t>700101-1659479</t>
  </si>
  <si>
    <t>700101-1659480</t>
  </si>
  <si>
    <t>700101-1659481</t>
  </si>
  <si>
    <t>700101-1659482</t>
  </si>
  <si>
    <t>700101-1659483</t>
  </si>
  <si>
    <t>700101-1659484</t>
  </si>
  <si>
    <t>700101-1659485</t>
  </si>
  <si>
    <t>700101-1659486</t>
  </si>
  <si>
    <t>700101-1659487</t>
  </si>
  <si>
    <t>700101-1659488</t>
  </si>
  <si>
    <t>700101-1659489</t>
  </si>
  <si>
    <t>700101-1659490</t>
  </si>
  <si>
    <t>700101-1659491</t>
  </si>
  <si>
    <t>700101-1659492</t>
  </si>
  <si>
    <t>700101-1659493</t>
  </si>
  <si>
    <t>700101-1659494</t>
  </si>
  <si>
    <t>700101-1659495</t>
  </si>
  <si>
    <t>700101-1659496</t>
  </si>
  <si>
    <t>700101-1659497</t>
  </si>
  <si>
    <t>700101-1659498</t>
  </si>
  <si>
    <t>700101-1659499</t>
  </si>
  <si>
    <t>700101-1659500</t>
  </si>
  <si>
    <t>700101-1659501</t>
  </si>
  <si>
    <t>700101-1659502</t>
  </si>
  <si>
    <t>700101-1659503</t>
  </si>
  <si>
    <t>700101-1659504</t>
  </si>
  <si>
    <t>700101-1659505</t>
  </si>
  <si>
    <t>700101-1659506</t>
  </si>
  <si>
    <t>700101-1659507</t>
  </si>
  <si>
    <t>700101-1659508</t>
  </si>
  <si>
    <t>700101-1659509</t>
  </si>
  <si>
    <t>700101-1659510</t>
  </si>
  <si>
    <t>700101-1659511</t>
  </si>
  <si>
    <t>700101-1659512</t>
  </si>
  <si>
    <t>700101-1659513</t>
  </si>
  <si>
    <t>700101-1659514</t>
  </si>
  <si>
    <t>700101-1659515</t>
  </si>
  <si>
    <t>700101-1659516</t>
  </si>
  <si>
    <t>700101-1659517</t>
  </si>
  <si>
    <t>700101-1659518</t>
  </si>
  <si>
    <t>700101-1659519</t>
  </si>
  <si>
    <t>700101-1659520</t>
  </si>
  <si>
    <t>700101-1659521</t>
  </si>
  <si>
    <t>700101-1659522</t>
  </si>
  <si>
    <t>700101-1659523</t>
  </si>
  <si>
    <t>700101-1659524</t>
  </si>
  <si>
    <t>700101-1659525</t>
  </si>
  <si>
    <t>700101-1659526</t>
  </si>
  <si>
    <t>700101-1659527</t>
  </si>
  <si>
    <t>700101-1659528</t>
  </si>
  <si>
    <t>700101-1659529</t>
  </si>
  <si>
    <t>700101-1659530</t>
  </si>
  <si>
    <t>700101-1659531</t>
  </si>
  <si>
    <t>700101-1659532</t>
  </si>
  <si>
    <t>700101-1659533</t>
  </si>
  <si>
    <t>700101-1659534</t>
  </si>
  <si>
    <t>700101-1659535</t>
  </si>
  <si>
    <t>700101-1659536</t>
  </si>
  <si>
    <t>700101-1659537</t>
  </si>
  <si>
    <t>700101-1659538</t>
  </si>
  <si>
    <t>700101-1659539</t>
  </si>
  <si>
    <t>700101-1659540</t>
  </si>
  <si>
    <t>700101-1659541</t>
  </si>
  <si>
    <t>700101-1659542</t>
  </si>
  <si>
    <t>700101-1659543</t>
  </si>
  <si>
    <t>700101-1659544</t>
  </si>
  <si>
    <t>700101-1659545</t>
  </si>
  <si>
    <t>700101-1659546</t>
  </si>
  <si>
    <t>700101-1659547</t>
  </si>
  <si>
    <t>700101-1659548</t>
  </si>
  <si>
    <t>700101-1659549</t>
  </si>
  <si>
    <t>700101-1659550</t>
  </si>
  <si>
    <t>700101-1659551</t>
  </si>
  <si>
    <t>700101-1659552</t>
  </si>
  <si>
    <t>700101-1659553</t>
  </si>
  <si>
    <t>700101-1659554</t>
  </si>
  <si>
    <t>700101-1659555</t>
  </si>
  <si>
    <t>700101-1659556</t>
  </si>
  <si>
    <t>700101-1659557</t>
  </si>
  <si>
    <t>700101-1659558</t>
  </si>
  <si>
    <t>700101-1659559</t>
  </si>
  <si>
    <t>700101-1659560</t>
  </si>
  <si>
    <t>700101-1659561</t>
  </si>
  <si>
    <t>700101-1659562</t>
  </si>
  <si>
    <t>700101-1659563</t>
  </si>
  <si>
    <t>700101-1659564</t>
  </si>
  <si>
    <t>700101-1659565</t>
  </si>
  <si>
    <t>700101-1659566</t>
  </si>
  <si>
    <t>700101-1659567</t>
  </si>
  <si>
    <t>700101-1659568</t>
  </si>
  <si>
    <t>700101-1659569</t>
  </si>
  <si>
    <t>700101-1659570</t>
  </si>
  <si>
    <t>700101-1659571</t>
  </si>
  <si>
    <t>700101-1659572</t>
  </si>
  <si>
    <t>700101-1659573</t>
  </si>
  <si>
    <t>700101-1659574</t>
  </si>
  <si>
    <t>700101-1659575</t>
  </si>
  <si>
    <t>700101-1659576</t>
  </si>
  <si>
    <t>700101-1659577</t>
  </si>
  <si>
    <t>700101-1659578</t>
  </si>
  <si>
    <t>700101-1659579</t>
  </si>
  <si>
    <t>700101-1659580</t>
  </si>
  <si>
    <t>700101-1659581</t>
  </si>
  <si>
    <t>700101-1659582</t>
  </si>
  <si>
    <t>700101-1659583</t>
  </si>
  <si>
    <t>700101-1659584</t>
  </si>
  <si>
    <t>700101-1659585</t>
  </si>
  <si>
    <t>700101-1659586</t>
  </si>
  <si>
    <t>700101-1659587</t>
  </si>
  <si>
    <t>700101-1659588</t>
  </si>
  <si>
    <t>700101-1659589</t>
  </si>
  <si>
    <t>700101-1659590</t>
  </si>
  <si>
    <t>700101-1659591</t>
  </si>
  <si>
    <t>700101-1659592</t>
  </si>
  <si>
    <t>700101-1659593</t>
  </si>
  <si>
    <t>700101-1659594</t>
  </si>
  <si>
    <t>700101-1659595</t>
  </si>
  <si>
    <t>700101-1659596</t>
  </si>
  <si>
    <t>700101-1659597</t>
  </si>
  <si>
    <t>700101-1659598</t>
  </si>
  <si>
    <t>700101-1659599</t>
  </si>
  <si>
    <t>700101-1659600</t>
  </si>
  <si>
    <t>700101-1659601</t>
  </si>
  <si>
    <t>700101-1659602</t>
  </si>
  <si>
    <t>700101-1659603</t>
  </si>
  <si>
    <t>700101-1659604</t>
  </si>
  <si>
    <t>700101-1659605</t>
  </si>
  <si>
    <t>700101-1659606</t>
  </si>
  <si>
    <t>700101-1659607</t>
  </si>
  <si>
    <t>700101-1659608</t>
  </si>
  <si>
    <t>700101-1659609</t>
  </si>
  <si>
    <t>700101-1659610</t>
  </si>
  <si>
    <t>700101-1659611</t>
  </si>
  <si>
    <t>700101-1659612</t>
  </si>
  <si>
    <t>700101-1659613</t>
  </si>
  <si>
    <t>700101-1659614</t>
  </si>
  <si>
    <t>700101-1659615</t>
  </si>
  <si>
    <t>700101-1659616</t>
  </si>
  <si>
    <t>700101-1659617</t>
  </si>
  <si>
    <t>700101-1659618</t>
  </si>
  <si>
    <t>700101-1659619</t>
  </si>
  <si>
    <t>700101-1659620</t>
  </si>
  <si>
    <t>700101-1659621</t>
  </si>
  <si>
    <t>700101-1659622</t>
  </si>
  <si>
    <t>700101-1659623</t>
  </si>
  <si>
    <t>700101-1659624</t>
  </si>
  <si>
    <t>700101-1659625</t>
  </si>
  <si>
    <t>700101-1659626</t>
  </si>
  <si>
    <t>700101-1659627</t>
  </si>
  <si>
    <t>700101-1659628</t>
  </si>
  <si>
    <t>700101-1659629</t>
  </si>
  <si>
    <t>700101-1659630</t>
  </si>
  <si>
    <t>700101-1659631</t>
  </si>
  <si>
    <t>700101-1659632</t>
  </si>
  <si>
    <t>700101-1659633</t>
  </si>
  <si>
    <t>700101-1659634</t>
  </si>
  <si>
    <t>700101-1659635</t>
  </si>
  <si>
    <t>700101-1659636</t>
  </si>
  <si>
    <t>700101-1659637</t>
  </si>
  <si>
    <t>700101-1659638</t>
  </si>
  <si>
    <t>700101-1659639</t>
  </si>
  <si>
    <t>700101-1659640</t>
  </si>
  <si>
    <t>700101-1659641</t>
  </si>
  <si>
    <t>700101-1659642</t>
  </si>
  <si>
    <t>700101-1659643</t>
  </si>
  <si>
    <t>700101-1659644</t>
  </si>
  <si>
    <t>700101-1659645</t>
  </si>
  <si>
    <t>700101-1659646</t>
  </si>
  <si>
    <t>700101-1659647</t>
  </si>
  <si>
    <t>700101-1659648</t>
  </si>
  <si>
    <t>700101-1659649</t>
  </si>
  <si>
    <t>700101-1659650</t>
  </si>
  <si>
    <t>700101-1659651</t>
  </si>
  <si>
    <t>700101-1659652</t>
  </si>
  <si>
    <t>700101-1659653</t>
  </si>
  <si>
    <t>700101-1659654</t>
  </si>
  <si>
    <t>700101-1659655</t>
  </si>
  <si>
    <t>700101-1659656</t>
  </si>
  <si>
    <t>700101-1659657</t>
  </si>
  <si>
    <t>700101-1659658</t>
  </si>
  <si>
    <t>700101-1659659</t>
  </si>
  <si>
    <t>700101-1659660</t>
  </si>
  <si>
    <t>700101-1659661</t>
  </si>
  <si>
    <t>700101-1659662</t>
  </si>
  <si>
    <t>700101-1659663</t>
  </si>
  <si>
    <t>700101-1659664</t>
  </si>
  <si>
    <t>700101-1659665</t>
  </si>
  <si>
    <t>700101-1659666</t>
  </si>
  <si>
    <t>700101-1659667</t>
  </si>
  <si>
    <t>700101-1659668</t>
  </si>
  <si>
    <t>700101-1659669</t>
  </si>
  <si>
    <t>700101-1659670</t>
  </si>
  <si>
    <t>700101-1659671</t>
  </si>
  <si>
    <t>700101-1659672</t>
  </si>
  <si>
    <t>700101-1659673</t>
  </si>
  <si>
    <t>700101-1659674</t>
  </si>
  <si>
    <t>700101-1659675</t>
  </si>
  <si>
    <t>700101-1659676</t>
  </si>
  <si>
    <t>700101-1659677</t>
  </si>
  <si>
    <t>700101-1659678</t>
  </si>
  <si>
    <t>700101-1659679</t>
  </si>
  <si>
    <t>700101-1659680</t>
  </si>
  <si>
    <t>700101-1659681</t>
  </si>
  <si>
    <t>700101-1659682</t>
  </si>
  <si>
    <t>700101-1659683</t>
  </si>
  <si>
    <t>700101-1659684</t>
  </si>
  <si>
    <t>700101-1659685</t>
  </si>
  <si>
    <t>700101-1659686</t>
  </si>
  <si>
    <t>700101-2658821</t>
    <phoneticPr fontId="1" type="noConversion"/>
  </si>
  <si>
    <t>700101-4658822</t>
    <phoneticPr fontId="1" type="noConversion"/>
  </si>
  <si>
    <t>030101-7658823</t>
    <phoneticPr fontId="1" type="noConversion"/>
  </si>
  <si>
    <t>030101-7658824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</si>
</sst>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0_ "/>
    <numFmt numFmtId="177" formatCode="#,##0_);[Red]\(#,##0\)"/>
    <numFmt numFmtId="178" formatCode="0.0_ "/>
    <numFmt numFmtId="179" formatCode="000000"/>
    <numFmt numFmtId="180" formatCode=";;;"/>
    <numFmt numFmtId="181" formatCode="mm&quot;월&quot;\ dd&quot;일&quot;"/>
  </numFmts>
  <fonts count="63">
    <font>
      <sz val="11"/>
      <color theme="1"/>
      <name val="맑은 고딕"/>
      <family val="2"/>
      <charset val="129"/>
      <scheme val="minor"/>
    </font>
    <font>
      <sz val="8"/>
      <name val="맑은 고딕"/>
      <family val="2"/>
      <charset val="129"/>
      <scheme val="minor"/>
    </font>
    <font>
      <sz val="16"/>
      <color theme="1"/>
      <name val="맑은 고딕"/>
      <family val="2"/>
      <charset val="129"/>
      <scheme val="minor"/>
    </font>
    <font>
      <sz val="16"/>
      <color theme="1"/>
      <name val="맑은 고딕"/>
      <family val="3"/>
      <charset val="129"/>
      <scheme val="minor"/>
    </font>
    <font>
      <b/>
      <sz val="16"/>
      <color theme="1"/>
      <name val="맑은 고딕"/>
      <family val="3"/>
      <charset val="129"/>
      <scheme val="minor"/>
    </font>
    <font>
      <sz val="14"/>
      <color theme="1"/>
      <name val="맑은 고딕"/>
      <family val="2"/>
      <charset val="129"/>
      <scheme val="minor"/>
    </font>
    <font>
      <b/>
      <sz val="14"/>
      <color theme="1"/>
      <name val="맑은 고딕"/>
      <family val="3"/>
      <charset val="129"/>
      <scheme val="minor"/>
    </font>
    <font>
      <sz val="14"/>
      <color rgb="FFFF0000"/>
      <name val="맑은 고딕"/>
      <family val="2"/>
      <charset val="129"/>
      <scheme val="minor"/>
    </font>
    <font>
      <b/>
      <sz val="11"/>
      <color rgb="FF0070C0"/>
      <name val="맑은 고딕"/>
      <family val="3"/>
      <charset val="129"/>
      <scheme val="minor"/>
    </font>
    <font>
      <b/>
      <sz val="12"/>
      <color theme="1"/>
      <name val="맑은 고딕"/>
      <family val="3"/>
      <charset val="129"/>
      <scheme val="minor"/>
    </font>
    <font>
      <sz val="11"/>
      <name val="맑은 고딕"/>
      <family val="3"/>
      <charset val="129"/>
      <scheme val="minor"/>
    </font>
    <font>
      <sz val="14"/>
      <name val="맑은 고딕"/>
      <family val="3"/>
      <charset val="129"/>
      <scheme val="minor"/>
    </font>
    <font>
      <b/>
      <i/>
      <sz val="14"/>
      <name val="맑은 고딕"/>
      <family val="3"/>
      <charset val="129"/>
      <scheme val="minor"/>
    </font>
    <font>
      <b/>
      <sz val="16"/>
      <color theme="3" tint="0.39997558519241921"/>
      <name val="맑은 고딕"/>
      <family val="3"/>
      <charset val="129"/>
      <scheme val="minor"/>
    </font>
    <font>
      <b/>
      <sz val="16"/>
      <color rgb="FFFF0000"/>
      <name val="맑은 고딕"/>
      <family val="3"/>
      <charset val="129"/>
      <scheme val="minor"/>
    </font>
    <font>
      <sz val="16"/>
      <color rgb="FFFF0000"/>
      <name val="맑은 고딕"/>
      <family val="3"/>
      <charset val="129"/>
      <scheme val="minor"/>
    </font>
    <font>
      <sz val="14"/>
      <color theme="9" tint="-0.249977111117893"/>
      <name val="맑은 고딕"/>
      <family val="3"/>
      <charset val="129"/>
      <scheme val="minor"/>
    </font>
    <font>
      <sz val="14"/>
      <color theme="1"/>
      <name val="맑은 고딕"/>
      <family val="3"/>
      <charset val="129"/>
      <scheme val="minor"/>
    </font>
    <font>
      <sz val="11"/>
      <color theme="1"/>
      <name val="맑은 고딕"/>
      <family val="2"/>
      <charset val="129"/>
      <scheme val="minor"/>
    </font>
    <font>
      <b/>
      <sz val="11"/>
      <color theme="1"/>
      <name val="맑은 고딕"/>
      <family val="3"/>
      <charset val="129"/>
    </font>
    <font>
      <sz val="11"/>
      <color theme="1"/>
      <name val="맑은 고딕"/>
      <family val="3"/>
      <charset val="129"/>
    </font>
    <font>
      <sz val="11"/>
      <color theme="1"/>
      <name val="맑은 고딕"/>
      <family val="3"/>
      <charset val="129"/>
      <scheme val="minor"/>
    </font>
    <font>
      <sz val="8"/>
      <name val="맑은 고딕"/>
      <family val="2"/>
      <charset val="129"/>
    </font>
    <font>
      <sz val="11"/>
      <color rgb="FF000000"/>
      <name val="맑은 고딕"/>
      <family val="3"/>
      <charset val="129"/>
      <scheme val="minor"/>
    </font>
    <font>
      <b/>
      <sz val="11"/>
      <color theme="1"/>
      <name val="맑은 고딕"/>
      <family val="3"/>
      <charset val="129"/>
      <scheme val="minor"/>
    </font>
    <font>
      <b/>
      <sz val="11"/>
      <color rgb="FF000000"/>
      <name val="맑은 고딕"/>
      <family val="3"/>
      <charset val="129"/>
    </font>
    <font>
      <b/>
      <sz val="12"/>
      <color theme="9" tint="-0.499984740745262"/>
      <name val="맑은 고딕"/>
      <family val="3"/>
      <charset val="129"/>
      <scheme val="minor"/>
    </font>
    <font>
      <sz val="11"/>
      <color rgb="FF555555"/>
      <name val="Microsoft JhengHei"/>
      <family val="2"/>
      <charset val="136"/>
    </font>
    <font>
      <b/>
      <sz val="14"/>
      <color theme="9" tint="-0.499984740745262"/>
      <name val="맑은 고딕"/>
      <family val="3"/>
      <charset val="129"/>
      <scheme val="minor"/>
    </font>
    <font>
      <b/>
      <sz val="11"/>
      <color theme="0"/>
      <name val="맑은 고딕"/>
      <family val="3"/>
      <charset val="129"/>
      <scheme val="minor"/>
    </font>
    <font>
      <b/>
      <sz val="20"/>
      <color rgb="FFFF0000"/>
      <name val="맑은 고딕"/>
      <family val="3"/>
      <charset val="129"/>
      <scheme val="minor"/>
    </font>
    <font>
      <b/>
      <sz val="12"/>
      <color rgb="FF7030A0"/>
      <name val="맑은 고딕"/>
      <family val="3"/>
      <charset val="129"/>
      <scheme val="minor"/>
    </font>
    <font>
      <b/>
      <sz val="13"/>
      <color theme="9" tint="-0.249977111117893"/>
      <name val="맑은 고딕"/>
      <family val="3"/>
      <charset val="129"/>
      <scheme val="minor"/>
    </font>
    <font>
      <b/>
      <sz val="12"/>
      <color rgb="FFFF0000"/>
      <name val="맑은 고딕"/>
      <family val="3"/>
      <charset val="129"/>
      <scheme val="minor"/>
    </font>
    <font>
      <sz val="11"/>
      <color rgb="FF555555"/>
      <name val="돋움"/>
      <family val="3"/>
      <charset val="129"/>
    </font>
    <font>
      <sz val="11"/>
      <color rgb="FFFF0000"/>
      <name val="맑은 고딕"/>
      <family val="2"/>
      <charset val="129"/>
      <scheme val="minor"/>
    </font>
    <font>
      <sz val="11"/>
      <color theme="9" tint="0.79998168889431442"/>
      <name val="맑은 고딕"/>
      <family val="2"/>
      <charset val="129"/>
      <scheme val="minor"/>
    </font>
    <font>
      <b/>
      <sz val="20"/>
      <color theme="1"/>
      <name val="맑은 고딕"/>
      <family val="3"/>
      <charset val="129"/>
      <scheme val="minor"/>
    </font>
    <font>
      <sz val="10"/>
      <color theme="1"/>
      <name val="맑은 고딕"/>
      <family val="2"/>
      <charset val="129"/>
      <scheme val="minor"/>
    </font>
    <font>
      <sz val="8"/>
      <name val="돋움"/>
      <family val="3"/>
      <charset val="129"/>
    </font>
    <font>
      <sz val="10"/>
      <color theme="1"/>
      <name val="맑은 고딕"/>
      <family val="3"/>
      <charset val="129"/>
      <scheme val="minor"/>
    </font>
    <font>
      <sz val="11"/>
      <color rgb="FF0000FF"/>
      <name val="맑은 고딕"/>
      <family val="2"/>
      <charset val="129"/>
      <scheme val="minor"/>
    </font>
    <font>
      <sz val="12"/>
      <name val="맑은 고딕"/>
      <family val="3"/>
      <charset val="129"/>
      <scheme val="minor"/>
    </font>
    <font>
      <sz val="12"/>
      <color theme="1"/>
      <name val="맑은 고딕"/>
      <family val="3"/>
      <charset val="129"/>
      <scheme val="minor"/>
    </font>
    <font>
      <sz val="10"/>
      <name val="맑은 고딕"/>
      <family val="3"/>
      <charset val="129"/>
      <scheme val="minor"/>
    </font>
    <font>
      <sz val="11"/>
      <color rgb="FF0000FF"/>
      <name val="맑은 고딕"/>
      <family val="3"/>
      <charset val="129"/>
      <scheme val="minor"/>
    </font>
    <font>
      <sz val="11"/>
      <color rgb="FFFF0000"/>
      <name val="맑은 고딕"/>
      <family val="3"/>
      <charset val="129"/>
      <scheme val="minor"/>
    </font>
    <font>
      <b/>
      <sz val="10"/>
      <color theme="1"/>
      <name val="맑은 고딕"/>
      <family val="3"/>
      <charset val="129"/>
      <scheme val="minor"/>
    </font>
    <font>
      <sz val="10"/>
      <name val="돋움"/>
      <family val="3"/>
      <charset val="129"/>
    </font>
    <font>
      <sz val="10"/>
      <color theme="1"/>
      <name val="돋움"/>
      <family val="3"/>
      <charset val="129"/>
    </font>
    <font>
      <sz val="10"/>
      <color rgb="FF000000"/>
      <name val="돋움"/>
      <family val="3"/>
      <charset val="129"/>
    </font>
    <font>
      <sz val="11"/>
      <name val="돋움"/>
      <family val="3"/>
      <charset val="129"/>
    </font>
    <font>
      <sz val="20"/>
      <name val="돋움"/>
      <family val="3"/>
      <charset val="129"/>
    </font>
    <font>
      <sz val="9"/>
      <color rgb="FFFF0000"/>
      <name val="맑은 고딕"/>
      <family val="2"/>
      <charset val="129"/>
      <scheme val="minor"/>
    </font>
    <font>
      <sz val="9"/>
      <color rgb="FFFF0000"/>
      <name val="맑은 고딕"/>
      <family val="3"/>
      <charset val="129"/>
      <scheme val="minor"/>
    </font>
    <font>
      <sz val="9"/>
      <color theme="0"/>
      <name val="맑은 고딕"/>
      <family val="2"/>
      <charset val="129"/>
      <scheme val="minor"/>
    </font>
    <font>
      <sz val="9"/>
      <color rgb="FF0070C0"/>
      <name val="맑은 고딕"/>
      <family val="2"/>
      <charset val="129"/>
      <scheme val="minor"/>
    </font>
    <font>
      <sz val="9"/>
      <color rgb="FF0070C0"/>
      <name val="맑은 고딕"/>
      <family val="3"/>
      <charset val="129"/>
      <scheme val="minor"/>
    </font>
    <font>
      <sz val="9"/>
      <color rgb="FF0000FF"/>
      <name val="맑은 고딕"/>
      <family val="2"/>
      <charset val="129"/>
      <scheme val="minor"/>
    </font>
    <font>
      <b/>
      <sz val="13"/>
      <color theme="1"/>
      <name val="맑은 고딕"/>
      <family val="3"/>
      <charset val="129"/>
      <scheme val="minor"/>
    </font>
    <font>
      <sz val="14"/>
      <color rgb="FFFF0000"/>
      <name val="맑은 고딕"/>
      <family val="3"/>
      <charset val="129"/>
    </font>
    <font>
      <b/>
      <sz val="11"/>
      <name val="맑은 고딕"/>
      <family val="3"/>
      <charset val="129"/>
      <scheme val="minor"/>
    </font>
    <font>
      <b/>
      <sz val="11"/>
      <color rgb="FFFF0000"/>
      <name val="맑은 고딕"/>
      <family val="3"/>
      <charset val="129"/>
      <scheme val="minor"/>
    </font>
  </fonts>
  <fills count="23">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rgb="FFFFFFFF"/>
        <bgColor indexed="64"/>
      </patternFill>
    </fill>
    <fill>
      <patternFill patternType="solid">
        <fgColor rgb="FF00B050"/>
        <bgColor indexed="64"/>
      </patternFill>
    </fill>
    <fill>
      <patternFill patternType="solid">
        <fgColor theme="2" tint="-0.249977111117893"/>
        <bgColor indexed="64"/>
      </patternFill>
    </fill>
    <fill>
      <patternFill patternType="solid">
        <fgColor rgb="FFFBF6E4"/>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39997558519241921"/>
        <bgColor indexed="64"/>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medium">
        <color auto="1"/>
      </bottom>
      <diagonal/>
    </border>
    <border>
      <left/>
      <right/>
      <top/>
      <bottom style="thin">
        <color indexed="64"/>
      </bottom>
      <diagonal/>
    </border>
    <border diagonalDown="1">
      <left style="medium">
        <color indexed="64"/>
      </left>
      <right style="thin">
        <color auto="1"/>
      </right>
      <top style="medium">
        <color indexed="64"/>
      </top>
      <bottom style="double">
        <color auto="1"/>
      </bottom>
      <diagonal style="thin">
        <color auto="1"/>
      </diagonal>
    </border>
    <border>
      <left/>
      <right/>
      <top style="medium">
        <color indexed="64"/>
      </top>
      <bottom style="double">
        <color auto="1"/>
      </bottom>
      <diagonal/>
    </border>
    <border>
      <left style="thin">
        <color auto="1"/>
      </left>
      <right style="thin">
        <color auto="1"/>
      </right>
      <top style="medium">
        <color indexed="64"/>
      </top>
      <bottom style="double">
        <color auto="1"/>
      </bottom>
      <diagonal/>
    </border>
    <border>
      <left style="thin">
        <color auto="1"/>
      </left>
      <right style="medium">
        <color indexed="64"/>
      </right>
      <top style="medium">
        <color indexed="64"/>
      </top>
      <bottom style="double">
        <color auto="1"/>
      </bottom>
      <diagonal/>
    </border>
    <border>
      <left style="medium">
        <color indexed="64"/>
      </left>
      <right style="thin">
        <color indexed="64"/>
      </right>
      <top/>
      <bottom style="thin">
        <color indexed="64"/>
      </bottom>
      <diagonal/>
    </border>
    <border>
      <left style="thin">
        <color auto="1"/>
      </left>
      <right style="medium">
        <color indexed="64"/>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theme="1"/>
      </left>
      <right style="thin">
        <color theme="0" tint="-0.499984740745262"/>
      </right>
      <top style="thin">
        <color theme="1"/>
      </top>
      <bottom style="thin">
        <color theme="0" tint="-0.499984740745262"/>
      </bottom>
      <diagonal/>
    </border>
    <border>
      <left style="thin">
        <color theme="0" tint="-0.499984740745262"/>
      </left>
      <right style="thin">
        <color theme="0" tint="-0.499984740745262"/>
      </right>
      <top style="thin">
        <color theme="1"/>
      </top>
      <bottom style="thin">
        <color theme="0" tint="-0.499984740745262"/>
      </bottom>
      <diagonal/>
    </border>
    <border>
      <left style="thin">
        <color theme="0" tint="-0.499984740745262"/>
      </left>
      <right style="thin">
        <color theme="1"/>
      </right>
      <top style="thin">
        <color theme="1"/>
      </top>
      <bottom style="thin">
        <color theme="0" tint="-0.499984740745262"/>
      </bottom>
      <diagonal/>
    </border>
    <border>
      <left style="thin">
        <color theme="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1"/>
      </right>
      <top style="thin">
        <color theme="0" tint="-0.499984740745262"/>
      </top>
      <bottom style="thin">
        <color theme="0" tint="-0.499984740745262"/>
      </bottom>
      <diagonal/>
    </border>
    <border>
      <left style="thin">
        <color theme="1"/>
      </left>
      <right style="thin">
        <color theme="0" tint="-0.499984740745262"/>
      </right>
      <top style="thin">
        <color theme="0" tint="-0.499984740745262"/>
      </top>
      <bottom style="thin">
        <color theme="1"/>
      </bottom>
      <diagonal/>
    </border>
    <border>
      <left style="thin">
        <color theme="0" tint="-0.499984740745262"/>
      </left>
      <right style="thin">
        <color theme="0" tint="-0.499984740745262"/>
      </right>
      <top style="thin">
        <color theme="0" tint="-0.499984740745262"/>
      </top>
      <bottom style="thin">
        <color theme="1"/>
      </bottom>
      <diagonal/>
    </border>
    <border>
      <left style="thin">
        <color theme="0" tint="-0.499984740745262"/>
      </left>
      <right style="thin">
        <color theme="1"/>
      </right>
      <top style="thin">
        <color theme="0" tint="-0.499984740745262"/>
      </top>
      <bottom style="thin">
        <color theme="1"/>
      </bottom>
      <diagonal/>
    </border>
    <border>
      <left style="thin">
        <color indexed="64"/>
      </left>
      <right style="thin">
        <color indexed="64"/>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style="medium">
        <color indexed="64"/>
      </left>
      <right/>
      <top style="medium">
        <color indexed="64"/>
      </top>
      <bottom/>
      <diagonal/>
    </border>
    <border>
      <left style="medium">
        <color theme="2" tint="-0.499984740745262"/>
      </left>
      <right/>
      <top style="medium">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top/>
      <bottom/>
      <diagonal/>
    </border>
    <border>
      <left style="medium">
        <color theme="2" tint="-0.499984740745262"/>
      </left>
      <right/>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right style="hair">
        <color indexed="64"/>
      </right>
      <top style="hair">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diagonalUp="1" diagonalDown="1">
      <left style="thin">
        <color indexed="64"/>
      </left>
      <right/>
      <top style="medium">
        <color indexed="64"/>
      </top>
      <bottom/>
      <diagonal style="thin">
        <color indexed="64"/>
      </diagonal>
    </border>
    <border diagonalUp="1" diagonalDown="1">
      <left/>
      <right/>
      <top style="medium">
        <color indexed="64"/>
      </top>
      <bottom/>
      <diagonal style="thin">
        <color indexed="64"/>
      </diagonal>
    </border>
    <border diagonalUp="1" diagonalDown="1">
      <left/>
      <right style="thin">
        <color indexed="64"/>
      </right>
      <top style="medium">
        <color indexed="64"/>
      </top>
      <bottom/>
      <diagonal style="thin">
        <color indexed="64"/>
      </diagonal>
    </border>
    <border diagonalUp="1" diagonalDown="1">
      <left/>
      <right style="medium">
        <color indexed="64"/>
      </right>
      <top style="medium">
        <color indexed="64"/>
      </top>
      <bottom/>
      <diagonal style="thin">
        <color indexed="64"/>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diagonalUp="1" diagonalDown="1">
      <left style="thin">
        <color indexed="64"/>
      </left>
      <right/>
      <top/>
      <bottom/>
      <diagonal style="thin">
        <color indexed="64"/>
      </diagonal>
    </border>
    <border diagonalUp="1" diagonalDown="1">
      <left/>
      <right/>
      <top/>
      <bottom/>
      <diagonal style="thin">
        <color indexed="64"/>
      </diagonal>
    </border>
    <border diagonalUp="1" diagonalDown="1">
      <left/>
      <right style="thin">
        <color indexed="64"/>
      </right>
      <top/>
      <bottom/>
      <diagonal style="thin">
        <color indexed="64"/>
      </diagonal>
    </border>
    <border diagonalUp="1" diagonalDown="1">
      <left/>
      <right style="medium">
        <color indexed="64"/>
      </right>
      <top/>
      <bottom/>
      <diagonal style="thin">
        <color indexed="64"/>
      </diagonal>
    </border>
    <border>
      <left style="thin">
        <color indexed="64"/>
      </left>
      <right/>
      <top style="thin">
        <color indexed="64"/>
      </top>
      <bottom style="thin">
        <color indexed="64"/>
      </bottom>
      <diagonal/>
    </border>
    <border>
      <left/>
      <right style="thin">
        <color indexed="64"/>
      </right>
      <top/>
      <bottom style="thin">
        <color indexed="64"/>
      </bottom>
      <diagonal/>
    </border>
    <border diagonalUp="1" diagonalDown="1">
      <left style="thin">
        <color auto="1"/>
      </left>
      <right/>
      <top/>
      <bottom style="thin">
        <color indexed="64"/>
      </bottom>
      <diagonal style="thin">
        <color auto="1"/>
      </diagonal>
    </border>
    <border diagonalUp="1" diagonalDown="1">
      <left/>
      <right/>
      <top/>
      <bottom style="thin">
        <color indexed="64"/>
      </bottom>
      <diagonal style="thin">
        <color auto="1"/>
      </diagonal>
    </border>
    <border diagonalUp="1" diagonalDown="1">
      <left/>
      <right style="thin">
        <color indexed="64"/>
      </right>
      <top/>
      <bottom style="thin">
        <color indexed="64"/>
      </bottom>
      <diagonal style="thin">
        <color auto="1"/>
      </diagonal>
    </border>
    <border diagonalUp="1" diagonalDown="1">
      <left/>
      <right style="medium">
        <color indexed="64"/>
      </right>
      <top/>
      <bottom style="thin">
        <color indexed="64"/>
      </bottom>
      <diagonal style="thin">
        <color indexed="64"/>
      </diagonal>
    </border>
    <border>
      <left/>
      <right/>
      <top style="thin">
        <color indexed="64"/>
      </top>
      <bottom style="thin">
        <color indexed="64"/>
      </bottom>
      <diagonal/>
    </border>
    <border diagonalUp="1" diagonalDown="1">
      <left style="thin">
        <color auto="1"/>
      </left>
      <right/>
      <top style="thin">
        <color auto="1"/>
      </top>
      <bottom/>
      <diagonal style="thin">
        <color auto="1"/>
      </diagonal>
    </border>
    <border diagonalUp="1" diagonalDown="1">
      <left/>
      <right style="thin">
        <color indexed="64"/>
      </right>
      <top style="thin">
        <color auto="1"/>
      </top>
      <bottom/>
      <diagonal style="thin">
        <color auto="1"/>
      </diagonal>
    </border>
    <border diagonalUp="1" diagonalDown="1">
      <left/>
      <right/>
      <top style="thin">
        <color auto="1"/>
      </top>
      <bottom/>
      <diagonal style="thin">
        <color auto="1"/>
      </diagonal>
    </border>
    <border diagonalUp="1" diagonalDown="1">
      <left/>
      <right style="medium">
        <color indexed="64"/>
      </right>
      <top style="thin">
        <color indexed="64"/>
      </top>
      <bottom/>
      <diagonal style="thin">
        <color indexed="64"/>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diagonalUp="1" diagonalDown="1">
      <left style="thin">
        <color auto="1"/>
      </left>
      <right/>
      <top/>
      <bottom style="medium">
        <color indexed="64"/>
      </bottom>
      <diagonal style="thin">
        <color auto="1"/>
      </diagonal>
    </border>
    <border diagonalUp="1" diagonalDown="1">
      <left/>
      <right style="thin">
        <color indexed="64"/>
      </right>
      <top/>
      <bottom style="medium">
        <color indexed="64"/>
      </bottom>
      <diagonal style="thin">
        <color auto="1"/>
      </diagonal>
    </border>
    <border diagonalUp="1" diagonalDown="1">
      <left/>
      <right/>
      <top/>
      <bottom style="medium">
        <color indexed="64"/>
      </bottom>
      <diagonal style="thin">
        <color auto="1"/>
      </diagonal>
    </border>
    <border diagonalUp="1" diagonalDown="1">
      <left/>
      <right style="medium">
        <color indexed="64"/>
      </right>
      <top/>
      <bottom style="medium">
        <color indexed="64"/>
      </bottom>
      <diagonal style="thin">
        <color indexed="64"/>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diagonalUp="1" diagonalDown="1">
      <left style="thin">
        <color indexed="64"/>
      </left>
      <right style="thin">
        <color indexed="64"/>
      </right>
      <top style="thin">
        <color indexed="64"/>
      </top>
      <bottom/>
      <diagonal style="thin">
        <color indexed="64"/>
      </diagonal>
    </border>
    <border diagonalUp="1" diagonalDown="1">
      <left style="thin">
        <color auto="1"/>
      </left>
      <right style="thin">
        <color indexed="64"/>
      </right>
      <top style="thin">
        <color auto="1"/>
      </top>
      <bottom style="thin">
        <color indexed="64"/>
      </bottom>
      <diagonal style="thin">
        <color auto="1"/>
      </diagonal>
    </border>
    <border diagonalUp="1" diagonalDown="1">
      <left style="thin">
        <color indexed="64"/>
      </left>
      <right style="thin">
        <color indexed="64"/>
      </right>
      <top/>
      <bottom/>
      <diagonal style="thin">
        <color indexed="64"/>
      </diagonal>
    </border>
    <border diagonalUp="1" diagonalDown="1">
      <left style="thin">
        <color indexed="64"/>
      </left>
      <right style="thin">
        <color indexed="64"/>
      </right>
      <top/>
      <bottom style="thin">
        <color indexed="64"/>
      </bottom>
      <diagonal style="thin">
        <color indexed="64"/>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theme="2" tint="-0.499984740745262"/>
      </right>
      <top style="thin">
        <color indexed="64"/>
      </top>
      <bottom/>
      <diagonal/>
    </border>
    <border>
      <left style="thin">
        <color theme="2" tint="-0.499984740745262"/>
      </left>
      <right/>
      <top style="thin">
        <color indexed="64"/>
      </top>
      <bottom style="thin">
        <color indexed="64"/>
      </bottom>
      <diagonal/>
    </border>
    <border>
      <left/>
      <right style="thin">
        <color theme="2" tint="-0.499984740745262"/>
      </right>
      <top style="thin">
        <color indexed="64"/>
      </top>
      <bottom style="thin">
        <color indexed="64"/>
      </bottom>
      <diagonal/>
    </border>
    <border>
      <left style="thin">
        <color theme="2" tint="-0.499984740745262"/>
      </left>
      <right style="medium">
        <color indexed="64"/>
      </right>
      <top style="thin">
        <color indexed="64"/>
      </top>
      <bottom/>
      <diagonal/>
    </border>
    <border>
      <left style="medium">
        <color indexed="64"/>
      </left>
      <right style="thin">
        <color theme="2" tint="-0.499984740745262"/>
      </right>
      <top style="thin">
        <color indexed="64"/>
      </top>
      <bottom/>
      <diagonal/>
    </border>
    <border>
      <left style="thin">
        <color theme="2" tint="-0.499984740745262"/>
      </left>
      <right style="thin">
        <color theme="2" tint="-0.499984740745262"/>
      </right>
      <top style="thin">
        <color indexed="64"/>
      </top>
      <bottom/>
      <diagonal/>
    </border>
    <border>
      <left/>
      <right style="thin">
        <color theme="2" tint="-0.499984740745262"/>
      </right>
      <top style="thin">
        <color indexed="64"/>
      </top>
      <bottom/>
      <diagonal/>
    </border>
    <border>
      <left style="thin">
        <color theme="2" tint="-0.499984740745262"/>
      </left>
      <right style="thin">
        <color indexed="64"/>
      </right>
      <top style="thin">
        <color indexed="64"/>
      </top>
      <bottom/>
      <diagonal/>
    </border>
    <border>
      <left style="thin">
        <color theme="0" tint="-0.499984740745262"/>
      </left>
      <right/>
      <top/>
      <bottom/>
      <diagonal/>
    </border>
  </borders>
  <cellStyleXfs count="6">
    <xf numFmtId="0" fontId="0" fillId="0" borderId="0">
      <alignment vertical="center"/>
    </xf>
    <xf numFmtId="41" fontId="18" fillId="0" borderId="0" applyFont="0" applyFill="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0" borderId="0">
      <alignment vertical="center"/>
    </xf>
  </cellStyleXfs>
  <cellXfs count="388">
    <xf numFmtId="0" fontId="0" fillId="0" borderId="0" xfId="0">
      <alignment vertical="center"/>
    </xf>
    <xf numFmtId="176" fontId="0" fillId="0" borderId="0" xfId="0" applyNumberFormat="1">
      <alignment vertical="center"/>
    </xf>
    <xf numFmtId="0" fontId="4" fillId="0" borderId="1" xfId="0" applyFont="1" applyBorder="1" applyAlignment="1">
      <alignment horizontal="center" vertical="center"/>
    </xf>
    <xf numFmtId="0" fontId="0" fillId="0" borderId="1" xfId="0" applyBorder="1">
      <alignment vertical="center"/>
    </xf>
    <xf numFmtId="14" fontId="0" fillId="0" borderId="0" xfId="0" applyNumberFormat="1">
      <alignment vertical="center"/>
    </xf>
    <xf numFmtId="0" fontId="0" fillId="0" borderId="0" xfId="0" applyAlignment="1">
      <alignment horizontal="center" vertical="center"/>
    </xf>
    <xf numFmtId="176" fontId="0" fillId="0" borderId="1" xfId="0" applyNumberFormat="1" applyBorder="1">
      <alignment vertical="center"/>
    </xf>
    <xf numFmtId="176" fontId="0" fillId="0" borderId="1" xfId="0" applyNumberFormat="1" applyBorder="1" applyAlignment="1">
      <alignment horizontal="center" vertical="center"/>
    </xf>
    <xf numFmtId="0" fontId="0" fillId="0" borderId="1" xfId="0" applyBorder="1" applyAlignment="1">
      <alignment horizontal="center" vertical="center"/>
    </xf>
    <xf numFmtId="176" fontId="0" fillId="3" borderId="1" xfId="0" applyNumberFormat="1" applyFill="1" applyBorder="1">
      <alignment vertical="center"/>
    </xf>
    <xf numFmtId="176" fontId="0" fillId="2" borderId="1" xfId="0" applyNumberFormat="1" applyFill="1" applyBorder="1">
      <alignment vertical="center"/>
    </xf>
    <xf numFmtId="176" fontId="0" fillId="0" borderId="2" xfId="0" applyNumberFormat="1" applyBorder="1">
      <alignment vertical="center"/>
    </xf>
    <xf numFmtId="176" fontId="0" fillId="0" borderId="3" xfId="0" applyNumberFormat="1" applyBorder="1">
      <alignment vertical="center"/>
    </xf>
    <xf numFmtId="176" fontId="0" fillId="0" borderId="4" xfId="0" applyNumberFormat="1" applyBorder="1">
      <alignment vertical="center"/>
    </xf>
    <xf numFmtId="0" fontId="0" fillId="0" borderId="3" xfId="0"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5" fillId="0" borderId="0" xfId="0" applyFont="1">
      <alignment vertical="center"/>
    </xf>
    <xf numFmtId="0" fontId="6" fillId="4" borderId="1" xfId="0" applyFont="1" applyFill="1" applyBorder="1" applyAlignment="1">
      <alignment horizontal="center" vertical="center"/>
    </xf>
    <xf numFmtId="0" fontId="5" fillId="0" borderId="1" xfId="0" applyFont="1" applyBorder="1">
      <alignment vertical="center"/>
    </xf>
    <xf numFmtId="0" fontId="6" fillId="0" borderId="1" xfId="0" applyFont="1" applyBorder="1" applyAlignment="1">
      <alignment horizontal="center" vertical="center"/>
    </xf>
    <xf numFmtId="177" fontId="5" fillId="0" borderId="1" xfId="0" applyNumberFormat="1" applyFont="1" applyBorder="1">
      <alignment vertical="center"/>
    </xf>
    <xf numFmtId="177" fontId="0" fillId="0" borderId="1" xfId="0" applyNumberFormat="1" applyBorder="1">
      <alignment vertical="center"/>
    </xf>
    <xf numFmtId="22" fontId="0" fillId="0" borderId="0" xfId="0" applyNumberFormat="1">
      <alignment vertical="center"/>
    </xf>
    <xf numFmtId="0" fontId="7" fillId="0" borderId="0" xfId="0" applyFont="1">
      <alignment vertical="center"/>
    </xf>
    <xf numFmtId="0" fontId="8" fillId="0" borderId="0" xfId="0" applyFont="1">
      <alignment vertical="center"/>
    </xf>
    <xf numFmtId="0" fontId="6" fillId="4" borderId="7" xfId="0" applyFont="1" applyFill="1" applyBorder="1" applyAlignment="1">
      <alignment horizontal="center" vertical="center"/>
    </xf>
    <xf numFmtId="0" fontId="6" fillId="0" borderId="8" xfId="0" applyFont="1" applyBorder="1" applyAlignment="1">
      <alignment horizontal="center" vertical="center"/>
    </xf>
    <xf numFmtId="14" fontId="5" fillId="4" borderId="6" xfId="0" applyNumberFormat="1" applyFont="1" applyFill="1" applyBorder="1" applyAlignment="1">
      <alignment horizontal="center" vertical="center"/>
    </xf>
    <xf numFmtId="0" fontId="9" fillId="0" borderId="0" xfId="0" applyFont="1">
      <alignment vertical="center"/>
    </xf>
    <xf numFmtId="0" fontId="16" fillId="0" borderId="1" xfId="0" applyFont="1" applyBorder="1" applyAlignment="1">
      <alignment horizontal="center" vertical="center"/>
    </xf>
    <xf numFmtId="0" fontId="0" fillId="0" borderId="3" xfId="0" applyBorder="1">
      <alignment vertical="center"/>
    </xf>
    <xf numFmtId="41" fontId="0" fillId="0" borderId="0" xfId="0" applyNumberFormat="1">
      <alignment vertical="center"/>
    </xf>
    <xf numFmtId="0" fontId="19" fillId="0" borderId="0" xfId="0" applyFont="1">
      <alignment vertical="center"/>
    </xf>
    <xf numFmtId="0" fontId="20" fillId="0" borderId="0" xfId="0" applyFont="1">
      <alignment vertical="center"/>
    </xf>
    <xf numFmtId="0" fontId="20" fillId="0" borderId="0" xfId="0" applyFont="1" applyAlignment="1">
      <alignment horizontal="center" vertical="center"/>
    </xf>
    <xf numFmtId="0" fontId="20" fillId="0" borderId="0" xfId="0" applyFont="1" applyAlignment="1">
      <alignment horizontal="left" vertical="center"/>
    </xf>
    <xf numFmtId="0" fontId="20" fillId="5" borderId="1" xfId="0" applyFont="1" applyFill="1" applyBorder="1" applyAlignment="1">
      <alignment horizontal="center" vertical="center"/>
    </xf>
    <xf numFmtId="0" fontId="20" fillId="6" borderId="1" xfId="0" applyFont="1" applyFill="1" applyBorder="1" applyAlignment="1">
      <alignment horizontal="center" vertical="center"/>
    </xf>
    <xf numFmtId="0" fontId="20" fillId="0" borderId="1" xfId="0" applyFont="1" applyBorder="1" applyAlignment="1">
      <alignment horizontal="center" vertical="center"/>
    </xf>
    <xf numFmtId="0" fontId="20" fillId="7" borderId="1" xfId="0" applyFont="1" applyFill="1" applyBorder="1" applyAlignment="1">
      <alignment horizontal="center" vertical="center"/>
    </xf>
    <xf numFmtId="3" fontId="20" fillId="8" borderId="1" xfId="0" applyNumberFormat="1" applyFont="1" applyFill="1" applyBorder="1" applyAlignment="1">
      <alignment horizontal="center" vertical="center"/>
    </xf>
    <xf numFmtId="0" fontId="20" fillId="8" borderId="1" xfId="0" applyFont="1" applyFill="1" applyBorder="1" applyAlignment="1">
      <alignment horizontal="center" vertical="center"/>
    </xf>
    <xf numFmtId="0" fontId="0" fillId="9" borderId="1" xfId="0" applyFill="1" applyBorder="1" applyAlignment="1">
      <alignment horizontal="center" vertical="center"/>
    </xf>
    <xf numFmtId="0" fontId="17" fillId="9" borderId="1" xfId="0" applyFont="1" applyFill="1" applyBorder="1">
      <alignment vertical="center"/>
    </xf>
    <xf numFmtId="176" fontId="17" fillId="9" borderId="1" xfId="0" applyNumberFormat="1" applyFont="1" applyFill="1" applyBorder="1">
      <alignment vertical="center"/>
    </xf>
    <xf numFmtId="0" fontId="0" fillId="10" borderId="0" xfId="0" applyFill="1">
      <alignment vertical="center"/>
    </xf>
    <xf numFmtId="41" fontId="20" fillId="0" borderId="1" xfId="1" applyFont="1" applyBorder="1" applyAlignment="1">
      <alignment horizontal="center" vertical="center"/>
    </xf>
    <xf numFmtId="3" fontId="20" fillId="0" borderId="0" xfId="0" applyNumberFormat="1" applyFont="1">
      <alignment vertical="center"/>
    </xf>
    <xf numFmtId="0" fontId="20" fillId="9" borderId="5" xfId="0" applyFont="1" applyFill="1" applyBorder="1" applyAlignment="1">
      <alignment horizontal="center" vertical="center"/>
    </xf>
    <xf numFmtId="0" fontId="0" fillId="0" borderId="0" xfId="0" pivotButton="1">
      <alignment vertical="center"/>
    </xf>
    <xf numFmtId="0" fontId="0" fillId="0" borderId="0" xfId="0" applyAlignment="1">
      <alignment horizontal="left" vertical="center"/>
    </xf>
    <xf numFmtId="0" fontId="0" fillId="0" borderId="0" xfId="0" quotePrefix="1">
      <alignment vertical="center"/>
    </xf>
    <xf numFmtId="0" fontId="0" fillId="11" borderId="1" xfId="0" applyFill="1" applyBorder="1">
      <alignment vertical="center"/>
    </xf>
    <xf numFmtId="0" fontId="11" fillId="9" borderId="8" xfId="0" applyFont="1" applyFill="1" applyBorder="1">
      <alignment vertical="center"/>
    </xf>
    <xf numFmtId="0" fontId="11" fillId="9" borderId="1" xfId="0" applyFont="1" applyFill="1" applyBorder="1">
      <alignment vertical="center"/>
    </xf>
    <xf numFmtId="0" fontId="11" fillId="9" borderId="1" xfId="0" applyFont="1" applyFill="1" applyBorder="1" applyAlignment="1">
      <alignment horizontal="center" vertical="center"/>
    </xf>
    <xf numFmtId="0" fontId="11" fillId="9" borderId="8" xfId="0" applyFont="1" applyFill="1" applyBorder="1" applyAlignment="1">
      <alignment horizontal="center" vertical="center"/>
    </xf>
    <xf numFmtId="0" fontId="13" fillId="9" borderId="8" xfId="0" applyFont="1" applyFill="1" applyBorder="1" applyAlignment="1">
      <alignment horizontal="center" vertical="center"/>
    </xf>
    <xf numFmtId="178" fontId="13" fillId="9" borderId="8" xfId="0" applyNumberFormat="1" applyFont="1" applyFill="1" applyBorder="1" applyAlignment="1">
      <alignment horizontal="right" vertical="center"/>
    </xf>
    <xf numFmtId="0" fontId="11" fillId="9" borderId="9" xfId="0" applyFont="1" applyFill="1" applyBorder="1" applyAlignment="1">
      <alignment horizontal="center" vertical="center"/>
    </xf>
    <xf numFmtId="0" fontId="11" fillId="9" borderId="9" xfId="0" applyFont="1" applyFill="1" applyBorder="1">
      <alignment vertical="center"/>
    </xf>
    <xf numFmtId="0" fontId="10" fillId="0" borderId="11" xfId="0" applyFont="1" applyBorder="1">
      <alignment vertical="center"/>
    </xf>
    <xf numFmtId="0" fontId="11" fillId="0" borderId="12" xfId="0" applyFont="1" applyBorder="1" applyAlignment="1">
      <alignment horizontal="center" vertical="center"/>
    </xf>
    <xf numFmtId="0" fontId="12" fillId="0" borderId="13" xfId="0" applyFont="1" applyBorder="1" applyAlignment="1">
      <alignment horizontal="center" vertical="center"/>
    </xf>
    <xf numFmtId="0" fontId="13" fillId="0" borderId="13" xfId="0" applyFont="1" applyBorder="1" applyAlignment="1">
      <alignment horizontal="center" vertical="center"/>
    </xf>
    <xf numFmtId="0" fontId="14" fillId="0" borderId="14" xfId="0" applyFont="1" applyBorder="1" applyAlignment="1">
      <alignment horizontal="center" vertical="center"/>
    </xf>
    <xf numFmtId="0" fontId="5" fillId="9" borderId="15" xfId="0" applyFont="1" applyFill="1" applyBorder="1" applyAlignment="1">
      <alignment horizontal="center" vertical="center"/>
    </xf>
    <xf numFmtId="0" fontId="15" fillId="9" borderId="16" xfId="0" applyFont="1" applyFill="1" applyBorder="1" applyAlignment="1">
      <alignment horizontal="center" vertical="center"/>
    </xf>
    <xf numFmtId="0" fontId="5" fillId="9" borderId="17" xfId="0" applyFont="1" applyFill="1" applyBorder="1" applyAlignment="1">
      <alignment horizontal="center" vertical="center"/>
    </xf>
    <xf numFmtId="0" fontId="5" fillId="9" borderId="18"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lignment vertical="center"/>
    </xf>
    <xf numFmtId="0" fontId="21" fillId="0" borderId="1" xfId="2" applyFont="1" applyFill="1" applyBorder="1" applyAlignment="1">
      <alignment horizontal="center" vertical="center" wrapText="1"/>
    </xf>
    <xf numFmtId="0" fontId="21" fillId="0" borderId="1" xfId="4" applyFont="1" applyFill="1" applyBorder="1" applyAlignment="1">
      <alignment horizontal="center" vertical="center" wrapText="1"/>
    </xf>
    <xf numFmtId="0" fontId="21" fillId="0" borderId="1" xfId="3" applyFont="1" applyFill="1" applyBorder="1" applyAlignment="1">
      <alignment horizontal="center" vertical="center" wrapText="1"/>
    </xf>
    <xf numFmtId="0" fontId="21" fillId="0" borderId="1" xfId="4" applyFont="1"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5" fillId="0" borderId="1" xfId="0" applyFont="1" applyBorder="1" applyAlignment="1">
      <alignment horizontal="center" vertical="center" wrapText="1"/>
    </xf>
    <xf numFmtId="0" fontId="26" fillId="0" borderId="0" xfId="0" quotePrefix="1" applyFont="1">
      <alignment vertical="center"/>
    </xf>
    <xf numFmtId="0" fontId="26" fillId="0" borderId="0" xfId="0" applyFont="1">
      <alignment vertical="center"/>
    </xf>
    <xf numFmtId="0" fontId="27" fillId="15" borderId="1" xfId="0" applyFont="1" applyFill="1" applyBorder="1" applyAlignment="1">
      <alignment horizontal="center" vertical="center" wrapText="1"/>
    </xf>
    <xf numFmtId="0" fontId="28" fillId="0" borderId="0" xfId="0" applyFont="1">
      <alignment vertical="center"/>
    </xf>
    <xf numFmtId="0" fontId="5" fillId="0" borderId="0" xfId="0" quotePrefix="1" applyFont="1">
      <alignment vertical="center"/>
    </xf>
    <xf numFmtId="0" fontId="28" fillId="0" borderId="0" xfId="0" quotePrefix="1" applyFont="1">
      <alignment vertical="center"/>
    </xf>
    <xf numFmtId="0" fontId="20" fillId="9" borderId="1" xfId="0" applyFont="1" applyFill="1" applyBorder="1" applyAlignment="1">
      <alignment horizontal="center" vertical="center"/>
    </xf>
    <xf numFmtId="0" fontId="20" fillId="9" borderId="0" xfId="0" applyFont="1" applyFill="1" applyAlignment="1">
      <alignment horizontal="center" vertical="center"/>
    </xf>
    <xf numFmtId="0" fontId="20" fillId="9" borderId="0" xfId="0" applyFont="1" applyFill="1">
      <alignment vertical="center"/>
    </xf>
    <xf numFmtId="0" fontId="20" fillId="9" borderId="0" xfId="0" applyFont="1" applyFill="1" applyAlignment="1">
      <alignment horizontal="left" vertical="center"/>
    </xf>
    <xf numFmtId="3" fontId="20" fillId="9" borderId="1" xfId="0" applyNumberFormat="1" applyFont="1" applyFill="1" applyBorder="1" applyAlignment="1">
      <alignment horizontal="center" vertical="center"/>
    </xf>
    <xf numFmtId="0" fontId="0" fillId="0" borderId="0" xfId="0" applyProtection="1">
      <alignment vertical="center"/>
      <protection locked="0"/>
    </xf>
    <xf numFmtId="0" fontId="24" fillId="0" borderId="1" xfId="0" applyFont="1" applyBorder="1" applyAlignment="1" applyProtection="1">
      <alignment horizontal="center" vertical="center"/>
      <protection locked="0"/>
    </xf>
    <xf numFmtId="0" fontId="31" fillId="0" borderId="0" xfId="0" applyFont="1">
      <alignment vertical="center"/>
    </xf>
    <xf numFmtId="0" fontId="0" fillId="0" borderId="1" xfId="0" applyBorder="1" applyAlignment="1" applyProtection="1">
      <alignment horizontal="center" vertical="center"/>
      <protection locked="0"/>
    </xf>
    <xf numFmtId="0" fontId="0" fillId="0" borderId="1" xfId="0" applyBorder="1" applyProtection="1">
      <alignment vertical="center"/>
      <protection locked="0"/>
    </xf>
    <xf numFmtId="0" fontId="10" fillId="0" borderId="0" xfId="0" applyFont="1" applyProtection="1">
      <alignment vertical="center"/>
      <protection locked="0"/>
    </xf>
    <xf numFmtId="0" fontId="24" fillId="10" borderId="1" xfId="0" applyFont="1" applyFill="1" applyBorder="1" applyAlignment="1" applyProtection="1">
      <alignment horizontal="center" vertical="center"/>
      <protection locked="0"/>
    </xf>
    <xf numFmtId="0" fontId="0" fillId="0" borderId="0" xfId="0" quotePrefix="1" applyAlignment="1">
      <alignment horizontal="left" vertical="center"/>
    </xf>
    <xf numFmtId="0" fontId="0" fillId="17" borderId="0" xfId="0" applyFill="1">
      <alignment vertical="center"/>
    </xf>
    <xf numFmtId="0" fontId="32" fillId="0" borderId="0" xfId="0" applyFont="1">
      <alignment vertical="center"/>
    </xf>
    <xf numFmtId="14" fontId="0" fillId="0" borderId="1" xfId="0" applyNumberFormat="1" applyBorder="1">
      <alignment vertical="center"/>
    </xf>
    <xf numFmtId="0" fontId="33" fillId="0" borderId="0" xfId="0" quotePrefix="1" applyFont="1">
      <alignment vertical="center"/>
    </xf>
    <xf numFmtId="0" fontId="33" fillId="0" borderId="0" xfId="0" applyFont="1">
      <alignment vertical="center"/>
    </xf>
    <xf numFmtId="0" fontId="6" fillId="4" borderId="2" xfId="0" applyFont="1" applyFill="1" applyBorder="1" applyAlignment="1">
      <alignment horizontal="center" vertical="center"/>
    </xf>
    <xf numFmtId="176" fontId="5" fillId="0" borderId="2" xfId="0" applyNumberFormat="1" applyFont="1" applyBorder="1">
      <alignment vertical="center"/>
    </xf>
    <xf numFmtId="0" fontId="4" fillId="2" borderId="30" xfId="0" applyFont="1" applyFill="1" applyBorder="1" applyAlignment="1">
      <alignment horizontal="center" vertical="center"/>
    </xf>
    <xf numFmtId="0" fontId="3" fillId="2" borderId="31" xfId="0" applyFont="1" applyFill="1" applyBorder="1">
      <alignment vertical="center"/>
    </xf>
    <xf numFmtId="0" fontId="3" fillId="2" borderId="30" xfId="0" applyFont="1" applyFill="1" applyBorder="1">
      <alignment vertical="center"/>
    </xf>
    <xf numFmtId="176" fontId="3" fillId="2" borderId="32" xfId="0" applyNumberFormat="1" applyFont="1" applyFill="1" applyBorder="1">
      <alignment vertical="center"/>
    </xf>
    <xf numFmtId="0" fontId="0" fillId="0" borderId="2" xfId="0" applyBorder="1" applyAlignment="1">
      <alignment horizontal="center" vertical="center"/>
    </xf>
    <xf numFmtId="177" fontId="0" fillId="0" borderId="2" xfId="0" applyNumberFormat="1" applyBorder="1">
      <alignment vertical="center"/>
    </xf>
    <xf numFmtId="0" fontId="0" fillId="2" borderId="3" xfId="0" applyFill="1" applyBorder="1" applyAlignment="1">
      <alignment horizontal="center" vertical="center"/>
    </xf>
    <xf numFmtId="177" fontId="0" fillId="0" borderId="3" xfId="0" applyNumberFormat="1" applyBorder="1">
      <alignment vertical="center"/>
    </xf>
    <xf numFmtId="177" fontId="0" fillId="0" borderId="4" xfId="0" applyNumberFormat="1" applyBorder="1">
      <alignment vertical="center"/>
    </xf>
    <xf numFmtId="177" fontId="5" fillId="0" borderId="2" xfId="0" applyNumberFormat="1" applyFont="1" applyBorder="1">
      <alignment vertical="center"/>
    </xf>
    <xf numFmtId="0" fontId="2" fillId="2" borderId="3" xfId="0" applyFont="1" applyFill="1" applyBorder="1" applyAlignment="1">
      <alignment horizontal="center" vertical="center"/>
    </xf>
    <xf numFmtId="0" fontId="3" fillId="2" borderId="3" xfId="0" applyFont="1" applyFill="1" applyBorder="1" applyAlignment="1">
      <alignment horizontal="center" vertical="center"/>
    </xf>
    <xf numFmtId="177" fontId="3" fillId="2" borderId="4" xfId="0" applyNumberFormat="1" applyFont="1" applyFill="1" applyBorder="1" applyAlignment="1">
      <alignment horizontal="right" vertical="center"/>
    </xf>
    <xf numFmtId="14" fontId="0" fillId="0" borderId="0" xfId="0" applyNumberFormat="1" applyAlignment="1">
      <alignment horizontal="center" vertical="center"/>
    </xf>
    <xf numFmtId="0" fontId="34" fillId="15" borderId="1" xfId="0" applyFont="1" applyFill="1" applyBorder="1" applyAlignment="1">
      <alignment horizontal="center" vertical="center" wrapText="1"/>
    </xf>
    <xf numFmtId="0" fontId="0" fillId="0" borderId="33" xfId="0" applyBorder="1" applyAlignment="1">
      <alignment horizontal="center" vertical="center"/>
    </xf>
    <xf numFmtId="0" fontId="0" fillId="18" borderId="0" xfId="0" applyFill="1" applyProtection="1">
      <alignment vertical="center"/>
      <protection hidden="1"/>
    </xf>
    <xf numFmtId="180" fontId="36" fillId="18" borderId="0" xfId="0" applyNumberFormat="1" applyFont="1" applyFill="1" applyProtection="1">
      <alignment vertical="center"/>
      <protection locked="0" hidden="1"/>
    </xf>
    <xf numFmtId="0" fontId="0" fillId="0" borderId="0" xfId="0" applyProtection="1">
      <alignment vertical="center"/>
      <protection hidden="1"/>
    </xf>
    <xf numFmtId="180" fontId="38" fillId="0" borderId="0" xfId="0" applyNumberFormat="1" applyFont="1" applyAlignment="1">
      <alignment horizontal="center" vertical="center" shrinkToFit="1"/>
    </xf>
    <xf numFmtId="180" fontId="0" fillId="0" borderId="0" xfId="0" applyNumberFormat="1" applyProtection="1">
      <alignment vertical="center"/>
      <protection hidden="1"/>
    </xf>
    <xf numFmtId="49" fontId="40" fillId="3" borderId="45" xfId="0" applyNumberFormat="1" applyFont="1" applyFill="1" applyBorder="1" applyAlignment="1">
      <alignment horizontal="center" vertical="center" shrinkToFit="1"/>
    </xf>
    <xf numFmtId="49" fontId="40" fillId="3" borderId="46" xfId="0" applyNumberFormat="1" applyFont="1" applyFill="1" applyBorder="1" applyAlignment="1">
      <alignment horizontal="center" vertical="center" shrinkToFit="1"/>
    </xf>
    <xf numFmtId="49" fontId="40" fillId="3" borderId="47" xfId="0" applyNumberFormat="1" applyFont="1" applyFill="1" applyBorder="1" applyAlignment="1">
      <alignment horizontal="center" vertical="center" shrinkToFit="1"/>
    </xf>
    <xf numFmtId="0" fontId="40" fillId="3" borderId="46" xfId="0" applyFont="1" applyFill="1" applyBorder="1" applyAlignment="1">
      <alignment horizontal="center" vertical="center" shrinkToFit="1"/>
    </xf>
    <xf numFmtId="181" fontId="40" fillId="3" borderId="46" xfId="0" applyNumberFormat="1" applyFont="1" applyFill="1" applyBorder="1" applyAlignment="1">
      <alignment horizontal="center" vertical="center" shrinkToFit="1"/>
    </xf>
    <xf numFmtId="181" fontId="40" fillId="3" borderId="47" xfId="0" applyNumberFormat="1" applyFont="1" applyFill="1" applyBorder="1" applyAlignment="1">
      <alignment horizontal="center" vertical="center" shrinkToFit="1"/>
    </xf>
    <xf numFmtId="49" fontId="40" fillId="3" borderId="48" xfId="0" applyNumberFormat="1" applyFont="1" applyFill="1" applyBorder="1" applyAlignment="1">
      <alignment horizontal="center" vertical="center" shrinkToFit="1"/>
    </xf>
    <xf numFmtId="0" fontId="40" fillId="3" borderId="47" xfId="0" applyFont="1" applyFill="1" applyBorder="1" applyAlignment="1">
      <alignment horizontal="center" vertical="center" shrinkToFit="1"/>
    </xf>
    <xf numFmtId="0" fontId="41" fillId="0" borderId="50" xfId="0" applyFont="1" applyBorder="1" applyProtection="1">
      <alignment vertical="center"/>
      <protection hidden="1"/>
    </xf>
    <xf numFmtId="0" fontId="40" fillId="0" borderId="55" xfId="0" applyFont="1" applyBorder="1" applyAlignment="1">
      <alignment horizontal="center" vertical="center" shrinkToFit="1"/>
    </xf>
    <xf numFmtId="0" fontId="42" fillId="0" borderId="1" xfId="0" applyFont="1" applyBorder="1" applyAlignment="1">
      <alignment horizontal="center" vertical="center" shrinkToFit="1"/>
    </xf>
    <xf numFmtId="0" fontId="10" fillId="0" borderId="1" xfId="0" applyFont="1" applyBorder="1" applyAlignment="1" applyProtection="1">
      <alignment horizontal="center" vertical="center"/>
      <protection hidden="1"/>
    </xf>
    <xf numFmtId="0" fontId="40" fillId="0" borderId="1" xfId="0" applyFont="1" applyBorder="1" applyAlignment="1">
      <alignment horizontal="center" vertical="center" shrinkToFit="1"/>
    </xf>
    <xf numFmtId="0" fontId="40" fillId="0" borderId="62" xfId="0" applyFont="1" applyBorder="1" applyAlignment="1">
      <alignment horizontal="center" vertical="center" shrinkToFit="1"/>
    </xf>
    <xf numFmtId="0" fontId="41" fillId="0" borderId="34" xfId="0" applyFont="1" applyBorder="1" applyProtection="1">
      <alignment vertical="center"/>
      <protection hidden="1"/>
    </xf>
    <xf numFmtId="0" fontId="10" fillId="6" borderId="1" xfId="0" applyFont="1" applyFill="1" applyBorder="1" applyAlignment="1" applyProtection="1">
      <alignment horizontal="center" vertical="center"/>
      <protection hidden="1"/>
    </xf>
    <xf numFmtId="0" fontId="40" fillId="0" borderId="9" xfId="0" applyFont="1" applyBorder="1" applyAlignment="1">
      <alignment horizontal="center" vertical="center" shrinkToFit="1"/>
    </xf>
    <xf numFmtId="0" fontId="40" fillId="0" borderId="74" xfId="0" applyFont="1" applyBorder="1" applyAlignment="1">
      <alignment horizontal="center" vertical="center" shrinkToFit="1"/>
    </xf>
    <xf numFmtId="0" fontId="42" fillId="0" borderId="9" xfId="0" applyFont="1" applyBorder="1" applyAlignment="1">
      <alignment horizontal="center" vertical="center" shrinkToFit="1"/>
    </xf>
    <xf numFmtId="0" fontId="10" fillId="0" borderId="9" xfId="0" applyFont="1" applyBorder="1" applyAlignment="1" applyProtection="1">
      <alignment horizontal="center" vertical="center"/>
      <protection hidden="1"/>
    </xf>
    <xf numFmtId="0" fontId="35" fillId="0" borderId="50" xfId="0" applyFont="1" applyBorder="1" applyProtection="1">
      <alignment vertical="center"/>
      <protection hidden="1"/>
    </xf>
    <xf numFmtId="0" fontId="10" fillId="6" borderId="49" xfId="0" applyFont="1" applyFill="1" applyBorder="1" applyAlignment="1" applyProtection="1">
      <alignment horizontal="center" vertical="center"/>
      <protection hidden="1"/>
    </xf>
    <xf numFmtId="0" fontId="43" fillId="0" borderId="1" xfId="0" applyFont="1" applyBorder="1" applyAlignment="1">
      <alignment horizontal="center" vertical="center" shrinkToFit="1"/>
    </xf>
    <xf numFmtId="0" fontId="0" fillId="20" borderId="0" xfId="0" applyFill="1" applyAlignment="1">
      <alignment horizontal="left" vertical="top"/>
    </xf>
    <xf numFmtId="49" fontId="44" fillId="0" borderId="43" xfId="0" applyNumberFormat="1" applyFont="1" applyBorder="1" applyAlignment="1">
      <alignment horizontal="center" vertical="center" shrinkToFit="1"/>
    </xf>
    <xf numFmtId="0" fontId="45" fillId="0" borderId="87" xfId="0" applyFont="1" applyBorder="1" applyProtection="1">
      <alignment vertical="center"/>
      <protection hidden="1"/>
    </xf>
    <xf numFmtId="0" fontId="44" fillId="0" borderId="55" xfId="0" applyFont="1" applyBorder="1" applyAlignment="1">
      <alignment horizontal="center" vertical="center" shrinkToFit="1"/>
    </xf>
    <xf numFmtId="0" fontId="44" fillId="0" borderId="1" xfId="0" applyFont="1" applyBorder="1" applyAlignment="1">
      <alignment horizontal="center" vertical="center" shrinkToFit="1"/>
    </xf>
    <xf numFmtId="0" fontId="44" fillId="0" borderId="62" xfId="0" applyFont="1" applyBorder="1" applyAlignment="1">
      <alignment horizontal="center" vertical="center" shrinkToFit="1"/>
    </xf>
    <xf numFmtId="0" fontId="46" fillId="0" borderId="34" xfId="0" applyFont="1" applyBorder="1" applyProtection="1">
      <alignment vertical="center"/>
      <protection hidden="1"/>
    </xf>
    <xf numFmtId="0" fontId="45" fillId="0" borderId="34" xfId="0" applyFont="1" applyBorder="1" applyProtection="1">
      <alignment vertical="center"/>
      <protection hidden="1"/>
    </xf>
    <xf numFmtId="0" fontId="42" fillId="21" borderId="1" xfId="0" applyFont="1" applyFill="1" applyBorder="1" applyAlignment="1">
      <alignment horizontal="center" vertical="center" shrinkToFit="1"/>
    </xf>
    <xf numFmtId="0" fontId="44" fillId="0" borderId="9" xfId="0" applyFont="1" applyBorder="1" applyAlignment="1">
      <alignment horizontal="center" vertical="center" shrinkToFit="1"/>
    </xf>
    <xf numFmtId="0" fontId="44" fillId="0" borderId="74" xfId="0" applyFont="1" applyBorder="1" applyAlignment="1">
      <alignment horizontal="center" vertical="center" shrinkToFit="1"/>
    </xf>
    <xf numFmtId="0" fontId="40" fillId="0" borderId="17" xfId="0" applyFont="1" applyBorder="1" applyAlignment="1">
      <alignment horizontal="center" vertical="center" shrinkToFit="1"/>
    </xf>
    <xf numFmtId="0" fontId="40" fillId="9" borderId="92" xfId="0" applyFont="1" applyFill="1" applyBorder="1" applyAlignment="1">
      <alignment horizontal="center" vertical="center" shrinkToFit="1"/>
    </xf>
    <xf numFmtId="0" fontId="40" fillId="9" borderId="17" xfId="0" applyFont="1" applyFill="1" applyBorder="1" applyAlignment="1">
      <alignment horizontal="center" vertical="center" shrinkToFit="1"/>
    </xf>
    <xf numFmtId="0" fontId="40" fillId="9" borderId="1" xfId="0" applyFont="1" applyFill="1" applyBorder="1" applyAlignment="1">
      <alignment horizontal="center" vertical="center" shrinkToFit="1"/>
    </xf>
    <xf numFmtId="0" fontId="40" fillId="9" borderId="0" xfId="0" applyFont="1" applyFill="1" applyAlignment="1">
      <alignment horizontal="center" vertical="center" shrinkToFit="1"/>
    </xf>
    <xf numFmtId="0" fontId="18" fillId="0" borderId="0" xfId="5" applyAlignment="1"/>
    <xf numFmtId="0" fontId="48" fillId="0" borderId="0" xfId="5" applyFont="1" applyAlignment="1"/>
    <xf numFmtId="0" fontId="18" fillId="0" borderId="0" xfId="5" applyAlignment="1">
      <alignment horizontal="left" vertical="center"/>
    </xf>
    <xf numFmtId="0" fontId="18" fillId="19" borderId="18" xfId="5" applyFill="1" applyBorder="1" applyAlignment="1">
      <alignment horizontal="center" vertical="center"/>
    </xf>
    <xf numFmtId="0" fontId="51" fillId="19" borderId="9" xfId="5" applyFont="1" applyFill="1" applyBorder="1" applyAlignment="1">
      <alignment horizontal="center" vertical="center"/>
    </xf>
    <xf numFmtId="0" fontId="18" fillId="19" borderId="9" xfId="5" applyFill="1" applyBorder="1" applyAlignment="1">
      <alignment horizontal="center" vertical="center"/>
    </xf>
    <xf numFmtId="0" fontId="18" fillId="19" borderId="74" xfId="5" applyFill="1" applyBorder="1" applyAlignment="1">
      <alignment horizontal="center" vertical="center"/>
    </xf>
    <xf numFmtId="0" fontId="18" fillId="19" borderId="94" xfId="5" applyFill="1" applyBorder="1" applyAlignment="1">
      <alignment horizontal="center" vertical="center"/>
    </xf>
    <xf numFmtId="0" fontId="18" fillId="19" borderId="93" xfId="5" applyFill="1" applyBorder="1" applyAlignment="1">
      <alignment horizontal="center" vertical="center"/>
    </xf>
    <xf numFmtId="0" fontId="49" fillId="0" borderId="15" xfId="5" applyFont="1" applyBorder="1" applyAlignment="1">
      <alignment horizontal="center" vertical="center" wrapText="1" shrinkToFit="1"/>
    </xf>
    <xf numFmtId="0" fontId="48" fillId="0" borderId="1" xfId="0" applyFont="1" applyBorder="1" applyAlignment="1" applyProtection="1">
      <alignment horizontal="center" vertical="center" wrapText="1" shrinkToFit="1"/>
      <protection locked="0"/>
    </xf>
    <xf numFmtId="0" fontId="51" fillId="0" borderId="8" xfId="5" applyFont="1" applyBorder="1" applyAlignment="1">
      <alignment horizontal="center"/>
    </xf>
    <xf numFmtId="0" fontId="51" fillId="0" borderId="55" xfId="5" applyFont="1" applyBorder="1" applyAlignment="1">
      <alignment horizontal="center"/>
    </xf>
    <xf numFmtId="0" fontId="51" fillId="0" borderId="15" xfId="5" applyFont="1" applyBorder="1" applyAlignment="1">
      <alignment horizontal="center"/>
    </xf>
    <xf numFmtId="0" fontId="51" fillId="0" borderId="16" xfId="5" applyFont="1" applyBorder="1" applyAlignment="1">
      <alignment horizontal="center"/>
    </xf>
    <xf numFmtId="0" fontId="18" fillId="0" borderId="63" xfId="5" applyBorder="1" applyAlignment="1">
      <alignment horizontal="center"/>
    </xf>
    <xf numFmtId="0" fontId="18" fillId="0" borderId="8" xfId="5" applyBorder="1" applyAlignment="1">
      <alignment horizontal="center"/>
    </xf>
    <xf numFmtId="0" fontId="53" fillId="0" borderId="16" xfId="0" applyFont="1" applyBorder="1" applyAlignment="1"/>
    <xf numFmtId="0" fontId="49" fillId="0" borderId="17" xfId="5" applyFont="1" applyBorder="1" applyAlignment="1">
      <alignment horizontal="center" vertical="center" wrapText="1" shrinkToFit="1"/>
    </xf>
    <xf numFmtId="0" fontId="53" fillId="0" borderId="92" xfId="0" applyFont="1" applyBorder="1" applyAlignment="1"/>
    <xf numFmtId="0" fontId="54" fillId="0" borderId="92" xfId="0" applyFont="1" applyBorder="1" applyAlignment="1"/>
    <xf numFmtId="0" fontId="49" fillId="0" borderId="1" xfId="0" applyFont="1" applyBorder="1" applyAlignment="1" applyProtection="1">
      <alignment horizontal="center" vertical="center" wrapText="1" shrinkToFit="1"/>
      <protection locked="0"/>
    </xf>
    <xf numFmtId="0" fontId="55" fillId="0" borderId="92" xfId="0" applyFont="1" applyBorder="1" applyAlignment="1"/>
    <xf numFmtId="0" fontId="56" fillId="0" borderId="92" xfId="0" applyFont="1" applyBorder="1" applyAlignment="1"/>
    <xf numFmtId="0" fontId="48" fillId="0" borderId="0" xfId="0" applyFont="1" applyAlignment="1" applyProtection="1">
      <alignment horizontal="left" vertical="center" wrapText="1" shrinkToFit="1"/>
      <protection locked="0"/>
    </xf>
    <xf numFmtId="0" fontId="51" fillId="9" borderId="8" xfId="5" applyFont="1" applyFill="1" applyBorder="1" applyAlignment="1">
      <alignment horizontal="center"/>
    </xf>
    <xf numFmtId="0" fontId="57" fillId="0" borderId="92" xfId="0" applyFont="1" applyBorder="1" applyAlignment="1"/>
    <xf numFmtId="0" fontId="51" fillId="0" borderId="1" xfId="5" applyFont="1" applyBorder="1" applyAlignment="1">
      <alignment horizontal="center"/>
    </xf>
    <xf numFmtId="0" fontId="51" fillId="0" borderId="63" xfId="5" applyFont="1" applyBorder="1" applyAlignment="1">
      <alignment horizontal="center"/>
    </xf>
    <xf numFmtId="0" fontId="18" fillId="0" borderId="101" xfId="5" applyBorder="1" applyAlignment="1"/>
    <xf numFmtId="0" fontId="58" fillId="0" borderId="92" xfId="0" applyFont="1" applyBorder="1" applyAlignment="1"/>
    <xf numFmtId="0" fontId="40" fillId="3" borderId="102" xfId="0" applyFont="1" applyFill="1" applyBorder="1" applyAlignment="1">
      <alignment horizontal="center" vertical="center" shrinkToFit="1"/>
    </xf>
    <xf numFmtId="0" fontId="40" fillId="3" borderId="105" xfId="0" applyFont="1" applyFill="1" applyBorder="1" applyAlignment="1">
      <alignment horizontal="center" vertical="center" shrinkToFit="1"/>
    </xf>
    <xf numFmtId="0" fontId="40" fillId="3" borderId="106" xfId="0" applyFont="1" applyFill="1" applyBorder="1" applyAlignment="1">
      <alignment horizontal="center" vertical="center" shrinkToFit="1"/>
    </xf>
    <xf numFmtId="0" fontId="40" fillId="3" borderId="56" xfId="0" applyFont="1" applyFill="1" applyBorder="1" applyAlignment="1">
      <alignment horizontal="center" vertical="center" shrinkToFit="1"/>
    </xf>
    <xf numFmtId="0" fontId="40" fillId="3" borderId="109" xfId="0" applyFont="1" applyFill="1" applyBorder="1" applyAlignment="1">
      <alignment horizontal="center" vertical="center" shrinkToFit="1"/>
    </xf>
    <xf numFmtId="0" fontId="60" fillId="9" borderId="0" xfId="0" applyFont="1" applyFill="1" applyAlignment="1">
      <alignment horizontal="center" vertical="center"/>
    </xf>
    <xf numFmtId="0" fontId="0" fillId="2" borderId="1" xfId="0" applyFill="1" applyBorder="1">
      <alignment vertical="center"/>
    </xf>
    <xf numFmtId="0" fontId="0" fillId="4" borderId="0" xfId="0" applyFill="1">
      <alignment vertical="center"/>
    </xf>
    <xf numFmtId="0" fontId="29" fillId="16" borderId="21" xfId="0" applyFont="1" applyFill="1" applyBorder="1" applyAlignment="1" applyProtection="1">
      <alignment horizontal="center" vertical="center"/>
      <protection locked="0"/>
    </xf>
    <xf numFmtId="0" fontId="29" fillId="16" borderId="22" xfId="0" applyFont="1" applyFill="1" applyBorder="1" applyAlignment="1" applyProtection="1">
      <alignment horizontal="center" vertical="center"/>
      <protection locked="0"/>
    </xf>
    <xf numFmtId="0" fontId="29" fillId="16" borderId="23" xfId="0" applyFont="1" applyFill="1" applyBorder="1" applyAlignment="1" applyProtection="1">
      <alignment horizontal="center" vertical="center"/>
      <protection locked="0"/>
    </xf>
    <xf numFmtId="179" fontId="10" fillId="0" borderId="24" xfId="0" applyNumberFormat="1" applyFont="1" applyBorder="1" applyAlignment="1" applyProtection="1">
      <alignment horizontal="left" vertical="center"/>
      <protection locked="0"/>
    </xf>
    <xf numFmtId="0" fontId="10" fillId="0" borderId="25" xfId="0" applyFont="1" applyBorder="1" applyAlignment="1" applyProtection="1">
      <alignment horizontal="center" vertical="center"/>
      <protection locked="0"/>
    </xf>
    <xf numFmtId="0" fontId="18" fillId="0" borderId="25" xfId="5" applyBorder="1" applyAlignment="1" applyProtection="1">
      <alignment horizontal="left" vertical="center"/>
      <protection locked="0"/>
    </xf>
    <xf numFmtId="0" fontId="10" fillId="0" borderId="26" xfId="0" applyFont="1" applyBorder="1" applyAlignment="1" applyProtection="1">
      <alignment horizontal="center" vertical="center"/>
      <protection locked="0"/>
    </xf>
    <xf numFmtId="179" fontId="10" fillId="0" borderId="27" xfId="0" applyNumberFormat="1" applyFont="1" applyBorder="1" applyAlignment="1" applyProtection="1">
      <alignment horizontal="left" vertical="center"/>
      <protection locked="0"/>
    </xf>
    <xf numFmtId="0" fontId="10" fillId="0" borderId="28" xfId="0" applyFont="1" applyBorder="1" applyAlignment="1" applyProtection="1">
      <alignment horizontal="center" vertical="center"/>
      <protection locked="0"/>
    </xf>
    <xf numFmtId="0" fontId="18" fillId="0" borderId="28" xfId="5" applyBorder="1" applyAlignment="1" applyProtection="1">
      <alignment horizontal="left" vertical="center"/>
      <protection locked="0"/>
    </xf>
    <xf numFmtId="0" fontId="10" fillId="0" borderId="29" xfId="0" applyFont="1" applyBorder="1" applyAlignment="1" applyProtection="1">
      <alignment horizontal="center" vertical="center"/>
      <protection locked="0"/>
    </xf>
    <xf numFmtId="0" fontId="61" fillId="9" borderId="110" xfId="0" applyFont="1" applyFill="1" applyBorder="1" applyAlignment="1" applyProtection="1">
      <alignment horizontal="center" vertical="center"/>
      <protection locked="0"/>
    </xf>
    <xf numFmtId="0" fontId="24" fillId="0" borderId="0" xfId="0" applyFont="1">
      <alignment vertical="center"/>
    </xf>
    <xf numFmtId="0" fontId="0" fillId="0" borderId="0" xfId="0">
      <alignment vertical="center"/>
    </xf>
    <xf numFmtId="181" fontId="0" fillId="0" borderId="0" xfId="0" applyNumberFormat="1">
      <alignment vertical="center"/>
    </xf>
    <xf numFmtId="181" fontId="0" fillId="0" borderId="0" xfId="0" quotePrefix="1" applyNumberFormat="1">
      <alignment vertical="center"/>
    </xf>
    <xf numFmtId="18" fontId="0" fillId="0" borderId="0" xfId="0" applyNumberFormat="1">
      <alignment vertical="center"/>
    </xf>
    <xf numFmtId="176" fontId="0" fillId="9" borderId="1" xfId="0" applyNumberFormat="1" applyFill="1" applyBorder="1">
      <alignment vertical="center"/>
    </xf>
    <xf numFmtId="0" fontId="18" fillId="0" borderId="25" xfId="5" applyBorder="1" applyAlignment="1" applyProtection="1">
      <alignment horizontal="left" vertical="center" wrapText="1"/>
      <protection locked="0"/>
    </xf>
    <xf numFmtId="0" fontId="0" fillId="0" borderId="0" xfId="0">
      <alignment vertical="center"/>
    </xf>
    <xf numFmtId="0" fontId="30" fillId="0" borderId="0" xfId="0" applyFont="1">
      <alignment vertical="center"/>
    </xf>
    <xf numFmtId="0" fontId="0" fillId="0" borderId="0" xfId="0">
      <alignment vertical="center"/>
    </xf>
    <xf numFmtId="0" fontId="15" fillId="0" borderId="10" xfId="0" applyFont="1" applyBorder="1">
      <alignment vertical="center"/>
    </xf>
    <xf numFmtId="0" fontId="0" fillId="0" borderId="10" xfId="0" applyBorder="1">
      <alignment vertical="center"/>
    </xf>
    <xf numFmtId="0" fontId="0" fillId="3" borderId="1" xfId="0" applyFill="1" applyBorder="1" applyAlignment="1">
      <alignment horizontal="center" vertical="center"/>
    </xf>
    <xf numFmtId="0" fontId="62" fillId="9" borderId="0" xfId="0" applyFont="1" applyFill="1" applyAlignment="1">
      <alignment horizontal="left" vertical="center"/>
    </xf>
    <xf numFmtId="0" fontId="0" fillId="0" borderId="0" xfId="0" applyAlignment="1">
      <alignment horizontal="center" vertical="center"/>
    </xf>
    <xf numFmtId="0" fontId="48" fillId="0" borderId="62" xfId="0" applyFont="1" applyBorder="1" applyAlignment="1" applyProtection="1">
      <alignment horizontal="center" vertical="center" wrapText="1" shrinkToFit="1"/>
      <protection locked="0"/>
    </xf>
    <xf numFmtId="0" fontId="48" fillId="0" borderId="7" xfId="0" applyFont="1" applyBorder="1" applyAlignment="1" applyProtection="1">
      <alignment horizontal="center" vertical="center" wrapText="1" shrinkToFit="1"/>
      <protection locked="0"/>
    </xf>
    <xf numFmtId="0" fontId="49" fillId="0" borderId="62" xfId="0" applyFont="1" applyBorder="1" applyAlignment="1" applyProtection="1">
      <alignment horizontal="center" vertical="center" wrapText="1" shrinkToFit="1"/>
      <protection locked="0"/>
    </xf>
    <xf numFmtId="0" fontId="49" fillId="0" borderId="7" xfId="0" applyFont="1" applyBorder="1" applyAlignment="1" applyProtection="1">
      <alignment horizontal="center" vertical="center" wrapText="1" shrinkToFit="1"/>
      <protection locked="0"/>
    </xf>
    <xf numFmtId="0" fontId="40" fillId="0" borderId="62" xfId="0" applyFont="1" applyBorder="1" applyAlignment="1">
      <alignment horizontal="center" vertical="center" shrinkToFit="1"/>
    </xf>
    <xf numFmtId="0" fontId="40" fillId="0" borderId="68" xfId="0" applyFont="1" applyBorder="1" applyAlignment="1">
      <alignment horizontal="center" vertical="center" shrinkToFit="1"/>
    </xf>
    <xf numFmtId="0" fontId="40" fillId="0" borderId="7" xfId="0" applyFont="1" applyBorder="1" applyAlignment="1">
      <alignment horizontal="center" vertical="center" shrinkToFit="1"/>
    </xf>
    <xf numFmtId="0" fontId="40" fillId="0" borderId="1" xfId="0" applyFont="1" applyBorder="1" applyAlignment="1">
      <alignment horizontal="center" vertical="center" shrinkToFit="1"/>
    </xf>
    <xf numFmtId="0" fontId="40" fillId="9" borderId="62" xfId="0" applyFont="1" applyFill="1" applyBorder="1" applyAlignment="1">
      <alignment horizontal="center" vertical="center" shrinkToFit="1"/>
    </xf>
    <xf numFmtId="0" fontId="40" fillId="9" borderId="68" xfId="0" applyFont="1" applyFill="1" applyBorder="1" applyAlignment="1">
      <alignment horizontal="center" vertical="center" shrinkToFit="1"/>
    </xf>
    <xf numFmtId="0" fontId="40" fillId="9" borderId="7" xfId="0" applyFont="1" applyFill="1" applyBorder="1" applyAlignment="1">
      <alignment horizontal="center" vertical="center" shrinkToFit="1"/>
    </xf>
    <xf numFmtId="0" fontId="40" fillId="9" borderId="1" xfId="0" applyFont="1" applyFill="1" applyBorder="1" applyAlignment="1">
      <alignment horizontal="center" vertical="center" shrinkToFit="1"/>
    </xf>
    <xf numFmtId="0" fontId="50" fillId="0" borderId="62" xfId="0" applyFont="1" applyBorder="1" applyAlignment="1" applyProtection="1">
      <alignment horizontal="center" vertical="center" wrapText="1" shrinkToFit="1"/>
      <protection locked="0"/>
    </xf>
    <xf numFmtId="0" fontId="50" fillId="0" borderId="7" xfId="0" applyFont="1" applyBorder="1" applyAlignment="1" applyProtection="1">
      <alignment horizontal="center" vertical="center" wrapText="1" shrinkToFit="1"/>
      <protection locked="0"/>
    </xf>
    <xf numFmtId="0" fontId="38" fillId="0" borderId="1" xfId="0" applyFont="1" applyBorder="1" applyAlignment="1" applyProtection="1">
      <alignment horizontal="center" vertical="center"/>
      <protection hidden="1"/>
    </xf>
    <xf numFmtId="0" fontId="40" fillId="0" borderId="1" xfId="0" applyFont="1" applyBorder="1" applyAlignment="1" applyProtection="1">
      <alignment horizontal="center" vertical="center"/>
      <protection hidden="1"/>
    </xf>
    <xf numFmtId="0" fontId="47" fillId="10" borderId="0" xfId="0" applyFont="1" applyFill="1" applyAlignment="1">
      <alignment horizontal="center" vertical="center" shrinkToFit="1"/>
    </xf>
    <xf numFmtId="0" fontId="40" fillId="3" borderId="103" xfId="0" applyFont="1" applyFill="1" applyBorder="1" applyAlignment="1">
      <alignment horizontal="center" vertical="center" shrinkToFit="1"/>
    </xf>
    <xf numFmtId="0" fontId="40" fillId="3" borderId="104" xfId="0" applyFont="1" applyFill="1" applyBorder="1" applyAlignment="1">
      <alignment horizontal="center" vertical="center" shrinkToFit="1"/>
    </xf>
    <xf numFmtId="0" fontId="40" fillId="3" borderId="107" xfId="0" applyFont="1" applyFill="1" applyBorder="1" applyAlignment="1">
      <alignment horizontal="center" vertical="center" shrinkToFit="1"/>
    </xf>
    <xf numFmtId="0" fontId="40" fillId="3" borderId="56" xfId="0" applyFont="1" applyFill="1" applyBorder="1" applyAlignment="1">
      <alignment horizontal="center" vertical="center" shrinkToFit="1"/>
    </xf>
    <xf numFmtId="0" fontId="40" fillId="3" borderId="108" xfId="0" applyFont="1" applyFill="1" applyBorder="1" applyAlignment="1">
      <alignment horizontal="center" vertical="center" shrinkToFit="1"/>
    </xf>
    <xf numFmtId="0" fontId="42" fillId="21" borderId="62" xfId="0" applyFont="1" applyFill="1" applyBorder="1" applyAlignment="1">
      <alignment horizontal="center" vertical="center" shrinkToFit="1"/>
    </xf>
    <xf numFmtId="0" fontId="42" fillId="21" borderId="7" xfId="0" applyFont="1" applyFill="1" applyBorder="1" applyAlignment="1">
      <alignment horizontal="center" vertical="center" shrinkToFit="1"/>
    </xf>
    <xf numFmtId="0" fontId="42" fillId="0" borderId="69" xfId="0" applyFont="1" applyBorder="1" applyAlignment="1">
      <alignment horizontal="center" vertical="center" shrinkToFit="1"/>
    </xf>
    <xf numFmtId="0" fontId="42" fillId="0" borderId="71" xfId="0" applyFont="1" applyBorder="1" applyAlignment="1">
      <alignment horizontal="center" vertical="center" shrinkToFit="1"/>
    </xf>
    <xf numFmtId="0" fontId="42" fillId="0" borderId="70" xfId="0" applyFont="1" applyBorder="1" applyAlignment="1">
      <alignment horizontal="center" vertical="center" shrinkToFit="1"/>
    </xf>
    <xf numFmtId="0" fontId="42" fillId="0" borderId="58" xfId="0" applyFont="1" applyBorder="1" applyAlignment="1">
      <alignment horizontal="center" vertical="center" shrinkToFit="1"/>
    </xf>
    <xf numFmtId="0" fontId="42" fillId="0" borderId="59" xfId="0" applyFont="1" applyBorder="1" applyAlignment="1">
      <alignment horizontal="center" vertical="center" shrinkToFit="1"/>
    </xf>
    <xf numFmtId="0" fontId="42" fillId="0" borderId="60" xfId="0" applyFont="1" applyBorder="1" applyAlignment="1">
      <alignment horizontal="center" vertical="center" shrinkToFit="1"/>
    </xf>
    <xf numFmtId="0" fontId="42" fillId="0" borderId="64" xfId="0" applyFont="1" applyBorder="1" applyAlignment="1">
      <alignment horizontal="center" vertical="center" shrinkToFit="1"/>
    </xf>
    <xf numFmtId="0" fontId="42" fillId="0" borderId="65" xfId="0" applyFont="1" applyBorder="1" applyAlignment="1">
      <alignment horizontal="center" vertical="center" shrinkToFit="1"/>
    </xf>
    <xf numFmtId="0" fontId="42" fillId="0" borderId="66" xfId="0" applyFont="1" applyBorder="1" applyAlignment="1">
      <alignment horizontal="center" vertical="center" shrinkToFit="1"/>
    </xf>
    <xf numFmtId="0" fontId="42" fillId="0" borderId="33" xfId="0" applyFont="1" applyBorder="1" applyAlignment="1">
      <alignment horizontal="center" vertical="center" shrinkToFit="1"/>
    </xf>
    <xf numFmtId="0" fontId="42" fillId="0" borderId="8" xfId="0" applyFont="1" applyBorder="1" applyAlignment="1">
      <alignment horizontal="center" vertical="center" shrinkToFit="1"/>
    </xf>
    <xf numFmtId="0" fontId="42" fillId="0" borderId="89" xfId="0" applyFont="1" applyBorder="1" applyAlignment="1">
      <alignment horizontal="center" vertical="center" shrinkToFit="1"/>
    </xf>
    <xf numFmtId="0" fontId="42" fillId="0" borderId="34" xfId="0" applyFont="1" applyBorder="1" applyAlignment="1">
      <alignment horizontal="center" vertical="center" shrinkToFit="1"/>
    </xf>
    <xf numFmtId="0" fontId="42" fillId="0" borderId="57" xfId="0" applyFont="1" applyBorder="1" applyAlignment="1">
      <alignment horizontal="center" vertical="center" shrinkToFit="1"/>
    </xf>
    <xf numFmtId="0" fontId="42" fillId="0" borderId="55" xfId="0" applyFont="1" applyBorder="1" applyAlignment="1">
      <alignment horizontal="center" vertical="center" shrinkToFit="1"/>
    </xf>
    <xf numFmtId="0" fontId="42" fillId="0" borderId="63" xfId="0" applyFont="1" applyBorder="1" applyAlignment="1">
      <alignment horizontal="center" vertical="center" shrinkToFit="1"/>
    </xf>
    <xf numFmtId="0" fontId="42" fillId="0" borderId="88" xfId="0" applyFont="1" applyBorder="1" applyAlignment="1">
      <alignment horizontal="center" vertical="center" shrinkToFit="1"/>
    </xf>
    <xf numFmtId="0" fontId="42" fillId="0" borderId="90" xfId="0" applyFont="1" applyBorder="1" applyAlignment="1">
      <alignment horizontal="center" vertical="center" shrinkToFit="1"/>
    </xf>
    <xf numFmtId="0" fontId="42" fillId="0" borderId="91" xfId="0" applyFont="1" applyBorder="1" applyAlignment="1">
      <alignment horizontal="center" vertical="center" shrinkToFit="1"/>
    </xf>
    <xf numFmtId="49" fontId="44" fillId="0" borderId="43" xfId="0" applyNumberFormat="1" applyFont="1" applyBorder="1" applyAlignment="1">
      <alignment horizontal="center" vertical="center" wrapText="1" shrinkToFit="1"/>
    </xf>
    <xf numFmtId="49" fontId="44" fillId="0" borderId="43" xfId="0" applyNumberFormat="1" applyFont="1" applyBorder="1" applyAlignment="1">
      <alignment horizontal="center" vertical="center" shrinkToFit="1"/>
    </xf>
    <xf numFmtId="49" fontId="44" fillId="0" borderId="73" xfId="0" applyNumberFormat="1" applyFont="1" applyBorder="1" applyAlignment="1">
      <alignment horizontal="center" vertical="center" shrinkToFit="1"/>
    </xf>
    <xf numFmtId="0" fontId="42" fillId="0" borderId="56" xfId="0" applyFont="1" applyBorder="1" applyAlignment="1">
      <alignment horizontal="center" vertical="center" shrinkToFit="1"/>
    </xf>
    <xf numFmtId="0" fontId="42" fillId="0" borderId="10" xfId="0" applyFont="1" applyBorder="1" applyAlignment="1">
      <alignment horizontal="center" vertical="center" shrinkToFit="1"/>
    </xf>
    <xf numFmtId="0" fontId="44" fillId="0" borderId="1" xfId="0" applyFont="1" applyBorder="1" applyAlignment="1">
      <alignment horizontal="center" vertical="center" shrinkToFit="1"/>
    </xf>
    <xf numFmtId="0" fontId="42" fillId="6" borderId="1" xfId="0" applyFont="1" applyFill="1" applyBorder="1" applyAlignment="1">
      <alignment horizontal="center" vertical="center" shrinkToFit="1"/>
    </xf>
    <xf numFmtId="0" fontId="10" fillId="6" borderId="1" xfId="0" applyFont="1" applyFill="1" applyBorder="1" applyAlignment="1" applyProtection="1">
      <alignment horizontal="center" vertical="center"/>
      <protection hidden="1"/>
    </xf>
    <xf numFmtId="0" fontId="44" fillId="0" borderId="8" xfId="0" applyFont="1" applyBorder="1" applyAlignment="1">
      <alignment horizontal="center" vertical="center" shrinkToFit="1"/>
    </xf>
    <xf numFmtId="0" fontId="42" fillId="21" borderId="8" xfId="0" applyFont="1" applyFill="1" applyBorder="1" applyAlignment="1">
      <alignment horizontal="center" vertical="center" shrinkToFit="1"/>
    </xf>
    <xf numFmtId="0" fontId="42" fillId="21" borderId="1" xfId="0" applyFont="1" applyFill="1" applyBorder="1" applyAlignment="1">
      <alignment horizontal="center" vertical="center" shrinkToFit="1"/>
    </xf>
    <xf numFmtId="0" fontId="10" fillId="21" borderId="1" xfId="0" applyFont="1" applyFill="1" applyBorder="1" applyAlignment="1" applyProtection="1">
      <alignment horizontal="center" vertical="center"/>
      <protection hidden="1"/>
    </xf>
    <xf numFmtId="0" fontId="42" fillId="6" borderId="62" xfId="0" applyFont="1" applyFill="1" applyBorder="1" applyAlignment="1">
      <alignment horizontal="center" vertical="center" shrinkToFit="1"/>
    </xf>
    <xf numFmtId="0" fontId="42" fillId="6" borderId="68" xfId="0" applyFont="1" applyFill="1" applyBorder="1" applyAlignment="1">
      <alignment horizontal="center" vertical="center" shrinkToFit="1"/>
    </xf>
    <xf numFmtId="0" fontId="42" fillId="6" borderId="7" xfId="0" applyFont="1" applyFill="1" applyBorder="1" applyAlignment="1">
      <alignment horizontal="center" vertical="center" shrinkToFit="1"/>
    </xf>
    <xf numFmtId="0" fontId="42" fillId="0" borderId="51" xfId="0" applyFont="1" applyBorder="1" applyAlignment="1">
      <alignment horizontal="center" vertical="center" shrinkToFit="1"/>
    </xf>
    <xf numFmtId="0" fontId="42" fillId="0" borderId="52" xfId="0" applyFont="1" applyBorder="1" applyAlignment="1">
      <alignment horizontal="center" vertical="center" shrinkToFit="1"/>
    </xf>
    <xf numFmtId="0" fontId="42" fillId="0" borderId="53" xfId="0" applyFont="1" applyBorder="1" applyAlignment="1">
      <alignment horizontal="center" vertical="center" shrinkToFit="1"/>
    </xf>
    <xf numFmtId="0" fontId="42" fillId="0" borderId="72" xfId="0" applyFont="1" applyBorder="1" applyAlignment="1">
      <alignment horizontal="center" vertical="center" shrinkToFit="1"/>
    </xf>
    <xf numFmtId="0" fontId="42" fillId="0" borderId="61" xfId="0" applyFont="1" applyBorder="1" applyAlignment="1">
      <alignment horizontal="center" vertical="center" shrinkToFit="1"/>
    </xf>
    <xf numFmtId="0" fontId="42" fillId="0" borderId="78" xfId="0" applyFont="1" applyBorder="1" applyAlignment="1">
      <alignment horizontal="center" vertical="center" shrinkToFit="1"/>
    </xf>
    <xf numFmtId="0" fontId="42" fillId="0" borderId="80" xfId="0" applyFont="1" applyBorder="1" applyAlignment="1">
      <alignment horizontal="center" vertical="center" shrinkToFit="1"/>
    </xf>
    <xf numFmtId="0" fontId="42" fillId="0" borderId="81" xfId="0" applyFont="1" applyBorder="1" applyAlignment="1">
      <alignment horizontal="center" vertical="center" shrinkToFit="1"/>
    </xf>
    <xf numFmtId="0" fontId="42" fillId="0" borderId="79" xfId="0" applyFont="1" applyBorder="1" applyAlignment="1">
      <alignment horizontal="center" vertical="center" shrinkToFit="1"/>
    </xf>
    <xf numFmtId="0" fontId="42" fillId="0" borderId="1" xfId="0" applyFont="1" applyBorder="1" applyAlignment="1">
      <alignment horizontal="center" vertical="center" shrinkToFit="1"/>
    </xf>
    <xf numFmtId="0" fontId="42" fillId="0" borderId="9" xfId="0" applyFont="1" applyBorder="1" applyAlignment="1">
      <alignment horizontal="center" vertical="center" shrinkToFit="1"/>
    </xf>
    <xf numFmtId="0" fontId="42" fillId="0" borderId="75" xfId="0" applyFont="1" applyBorder="1" applyAlignment="1">
      <alignment horizontal="center" vertical="center" shrinkToFit="1"/>
    </xf>
    <xf numFmtId="0" fontId="42" fillId="0" borderId="76" xfId="0" applyFont="1" applyBorder="1" applyAlignment="1">
      <alignment horizontal="center" vertical="center" shrinkToFit="1"/>
    </xf>
    <xf numFmtId="0" fontId="42" fillId="0" borderId="77" xfId="0" applyFont="1" applyBorder="1" applyAlignment="1">
      <alignment horizontal="center" vertical="center" shrinkToFit="1"/>
    </xf>
    <xf numFmtId="0" fontId="42" fillId="6" borderId="84" xfId="0" applyFont="1" applyFill="1" applyBorder="1" applyAlignment="1">
      <alignment horizontal="center" vertical="center" shrinkToFit="1"/>
    </xf>
    <xf numFmtId="0" fontId="42" fillId="6" borderId="85" xfId="0" applyFont="1" applyFill="1" applyBorder="1" applyAlignment="1">
      <alignment horizontal="center" vertical="center" shrinkToFit="1"/>
    </xf>
    <xf numFmtId="0" fontId="42" fillId="6" borderId="86" xfId="0" applyFont="1" applyFill="1" applyBorder="1" applyAlignment="1">
      <alignment horizontal="center" vertical="center" shrinkToFit="1"/>
    </xf>
    <xf numFmtId="0" fontId="42" fillId="0" borderId="54" xfId="0" applyFont="1" applyBorder="1" applyAlignment="1">
      <alignment horizontal="center" vertical="center" shrinkToFit="1"/>
    </xf>
    <xf numFmtId="0" fontId="42" fillId="0" borderId="67" xfId="0" applyFont="1" applyBorder="1" applyAlignment="1">
      <alignment horizontal="center" vertical="center" shrinkToFit="1"/>
    </xf>
    <xf numFmtId="49" fontId="40" fillId="0" borderId="35" xfId="0" applyNumberFormat="1" applyFont="1" applyBorder="1" applyAlignment="1">
      <alignment horizontal="center" vertical="center" wrapText="1" shrinkToFit="1"/>
    </xf>
    <xf numFmtId="49" fontId="40" fillId="0" borderId="43" xfId="0" applyNumberFormat="1" applyFont="1" applyBorder="1" applyAlignment="1">
      <alignment horizontal="center" vertical="center" wrapText="1" shrinkToFit="1"/>
    </xf>
    <xf numFmtId="49" fontId="40" fillId="0" borderId="73" xfId="0" applyNumberFormat="1" applyFont="1" applyBorder="1" applyAlignment="1">
      <alignment horizontal="center" vertical="center" wrapText="1" shrinkToFit="1"/>
    </xf>
    <xf numFmtId="0" fontId="40" fillId="0" borderId="49" xfId="0" applyFont="1" applyBorder="1" applyAlignment="1">
      <alignment horizontal="center" vertical="center" shrinkToFit="1"/>
    </xf>
    <xf numFmtId="0" fontId="42" fillId="6" borderId="49" xfId="0" applyFont="1" applyFill="1" applyBorder="1" applyAlignment="1">
      <alignment horizontal="center" vertical="center" shrinkToFit="1"/>
    </xf>
    <xf numFmtId="0" fontId="10" fillId="9" borderId="51" xfId="0" applyFont="1" applyFill="1" applyBorder="1" applyAlignment="1" applyProtection="1">
      <alignment horizontal="center" vertical="center"/>
      <protection hidden="1"/>
    </xf>
    <xf numFmtId="0" fontId="10" fillId="9" borderId="52" xfId="0" applyFont="1" applyFill="1" applyBorder="1" applyAlignment="1" applyProtection="1">
      <alignment horizontal="center" vertical="center"/>
      <protection hidden="1"/>
    </xf>
    <xf numFmtId="0" fontId="10" fillId="9" borderId="54" xfId="0" applyFont="1" applyFill="1" applyBorder="1" applyAlignment="1" applyProtection="1">
      <alignment horizontal="center" vertical="center"/>
      <protection hidden="1"/>
    </xf>
    <xf numFmtId="0" fontId="10" fillId="9" borderId="58" xfId="0" applyFont="1" applyFill="1" applyBorder="1" applyAlignment="1" applyProtection="1">
      <alignment horizontal="center" vertical="center"/>
      <protection hidden="1"/>
    </xf>
    <xf numFmtId="0" fontId="10" fillId="9" borderId="59" xfId="0" applyFont="1" applyFill="1" applyBorder="1" applyAlignment="1" applyProtection="1">
      <alignment horizontal="center" vertical="center"/>
      <protection hidden="1"/>
    </xf>
    <xf numFmtId="0" fontId="10" fillId="9" borderId="61" xfId="0" applyFont="1" applyFill="1" applyBorder="1" applyAlignment="1" applyProtection="1">
      <alignment horizontal="center" vertical="center"/>
      <protection hidden="1"/>
    </xf>
    <xf numFmtId="0" fontId="10" fillId="9" borderId="64" xfId="0" applyFont="1" applyFill="1" applyBorder="1" applyAlignment="1" applyProtection="1">
      <alignment horizontal="center" vertical="center"/>
      <protection hidden="1"/>
    </xf>
    <xf numFmtId="0" fontId="10" fillId="9" borderId="65" xfId="0" applyFont="1" applyFill="1" applyBorder="1" applyAlignment="1" applyProtection="1">
      <alignment horizontal="center" vertical="center"/>
      <protection hidden="1"/>
    </xf>
    <xf numFmtId="0" fontId="10" fillId="9" borderId="67" xfId="0" applyFont="1" applyFill="1" applyBorder="1" applyAlignment="1" applyProtection="1">
      <alignment horizontal="center" vertical="center"/>
      <protection hidden="1"/>
    </xf>
    <xf numFmtId="0" fontId="59" fillId="0" borderId="1" xfId="0" applyFont="1" applyBorder="1" applyAlignment="1">
      <alignment horizontal="center" vertical="center" shrinkToFit="1"/>
    </xf>
    <xf numFmtId="0" fontId="59" fillId="0" borderId="68" xfId="0" applyFont="1" applyBorder="1" applyAlignment="1">
      <alignment horizontal="center" vertical="center" shrinkToFit="1"/>
    </xf>
    <xf numFmtId="0" fontId="59" fillId="0" borderId="7" xfId="0" applyFont="1" applyBorder="1" applyAlignment="1">
      <alignment horizontal="center" vertical="center" shrinkToFit="1"/>
    </xf>
    <xf numFmtId="0" fontId="42" fillId="0" borderId="62" xfId="0" applyFont="1" applyBorder="1" applyAlignment="1">
      <alignment horizontal="center" vertical="center" shrinkToFit="1"/>
    </xf>
    <xf numFmtId="0" fontId="42" fillId="0" borderId="7" xfId="0" applyFont="1" applyBorder="1" applyAlignment="1">
      <alignment horizontal="center" vertical="center" shrinkToFit="1"/>
    </xf>
    <xf numFmtId="0" fontId="10" fillId="0" borderId="69" xfId="0" applyFont="1" applyBorder="1" applyAlignment="1" applyProtection="1">
      <alignment horizontal="center" vertical="center"/>
      <protection hidden="1"/>
    </xf>
    <xf numFmtId="0" fontId="10" fillId="0" borderId="71" xfId="0" applyFont="1" applyBorder="1" applyAlignment="1" applyProtection="1">
      <alignment horizontal="center" vertical="center"/>
      <protection hidden="1"/>
    </xf>
    <xf numFmtId="0" fontId="10" fillId="0" borderId="70" xfId="0" applyFont="1" applyBorder="1" applyAlignment="1" applyProtection="1">
      <alignment horizontal="center" vertical="center"/>
      <protection hidden="1"/>
    </xf>
    <xf numFmtId="0" fontId="10" fillId="0" borderId="58" xfId="0" applyFont="1" applyBorder="1" applyAlignment="1" applyProtection="1">
      <alignment horizontal="center" vertical="center"/>
      <protection hidden="1"/>
    </xf>
    <xf numFmtId="0" fontId="10" fillId="0" borderId="59" xfId="0" applyFont="1" applyBorder="1" applyAlignment="1" applyProtection="1">
      <alignment horizontal="center" vertical="center"/>
      <protection hidden="1"/>
    </xf>
    <xf numFmtId="0" fontId="10" fillId="0" borderId="60" xfId="0" applyFont="1" applyBorder="1" applyAlignment="1" applyProtection="1">
      <alignment horizontal="center" vertical="center"/>
      <protection hidden="1"/>
    </xf>
    <xf numFmtId="0" fontId="10" fillId="0" borderId="78" xfId="0" applyFont="1" applyBorder="1" applyAlignment="1" applyProtection="1">
      <alignment horizontal="center" vertical="center"/>
      <protection hidden="1"/>
    </xf>
    <xf numFmtId="0" fontId="10" fillId="0" borderId="80" xfId="0" applyFont="1" applyBorder="1" applyAlignment="1" applyProtection="1">
      <alignment horizontal="center" vertical="center"/>
      <protection hidden="1"/>
    </xf>
    <xf numFmtId="0" fontId="10" fillId="0" borderId="79" xfId="0" applyFont="1" applyBorder="1" applyAlignment="1" applyProtection="1">
      <alignment horizontal="center" vertical="center"/>
      <protection hidden="1"/>
    </xf>
    <xf numFmtId="0" fontId="10" fillId="21" borderId="62" xfId="0" applyFont="1" applyFill="1" applyBorder="1" applyAlignment="1" applyProtection="1">
      <alignment horizontal="center" vertical="center"/>
      <protection hidden="1"/>
    </xf>
    <xf numFmtId="0" fontId="10" fillId="21" borderId="82" xfId="0" applyFont="1" applyFill="1" applyBorder="1" applyAlignment="1" applyProtection="1">
      <alignment horizontal="center" vertical="center"/>
      <protection hidden="1"/>
    </xf>
    <xf numFmtId="0" fontId="10" fillId="0" borderId="33" xfId="0" applyFont="1" applyBorder="1" applyAlignment="1" applyProtection="1">
      <alignment horizontal="center" vertical="center"/>
      <protection hidden="1"/>
    </xf>
    <xf numFmtId="0" fontId="10" fillId="0" borderId="19" xfId="0" applyFont="1" applyBorder="1" applyAlignment="1" applyProtection="1">
      <alignment horizontal="center" vertical="center"/>
      <protection hidden="1"/>
    </xf>
    <xf numFmtId="0" fontId="10" fillId="0" borderId="83" xfId="0" applyFont="1" applyBorder="1" applyAlignment="1" applyProtection="1">
      <alignment horizontal="center" vertical="center"/>
      <protection hidden="1"/>
    </xf>
    <xf numFmtId="0" fontId="10" fillId="0" borderId="20" xfId="0" applyFont="1" applyBorder="1" applyAlignment="1" applyProtection="1">
      <alignment horizontal="center" vertical="center"/>
      <protection hidden="1"/>
    </xf>
    <xf numFmtId="0" fontId="10" fillId="6" borderId="62" xfId="0" applyFont="1" applyFill="1" applyBorder="1" applyAlignment="1" applyProtection="1">
      <alignment horizontal="center" vertical="center"/>
      <protection hidden="1"/>
    </xf>
    <xf numFmtId="0" fontId="10" fillId="6" borderId="68" xfId="0" applyFont="1" applyFill="1" applyBorder="1" applyAlignment="1" applyProtection="1">
      <alignment horizontal="center" vertical="center"/>
      <protection hidden="1"/>
    </xf>
    <xf numFmtId="0" fontId="10" fillId="6" borderId="7" xfId="0" applyFont="1" applyFill="1" applyBorder="1" applyAlignment="1" applyProtection="1">
      <alignment horizontal="center" vertical="center"/>
      <protection hidden="1"/>
    </xf>
    <xf numFmtId="0" fontId="10" fillId="9" borderId="69" xfId="0" applyFont="1" applyFill="1" applyBorder="1" applyAlignment="1" applyProtection="1">
      <alignment horizontal="center" vertical="center"/>
      <protection hidden="1"/>
    </xf>
    <xf numFmtId="0" fontId="10" fillId="9" borderId="70" xfId="0" applyFont="1" applyFill="1" applyBorder="1" applyAlignment="1" applyProtection="1">
      <alignment horizontal="center" vertical="center"/>
      <protection hidden="1"/>
    </xf>
    <xf numFmtId="0" fontId="10" fillId="9" borderId="60" xfId="0" applyFont="1" applyFill="1" applyBorder="1" applyAlignment="1" applyProtection="1">
      <alignment horizontal="center" vertical="center"/>
      <protection hidden="1"/>
    </xf>
    <xf numFmtId="0" fontId="10" fillId="9" borderId="78" xfId="0" applyFont="1" applyFill="1" applyBorder="1" applyAlignment="1" applyProtection="1">
      <alignment horizontal="center" vertical="center"/>
      <protection hidden="1"/>
    </xf>
    <xf numFmtId="0" fontId="10" fillId="9" borderId="79" xfId="0" applyFont="1" applyFill="1" applyBorder="1" applyAlignment="1" applyProtection="1">
      <alignment horizontal="center" vertical="center"/>
      <protection hidden="1"/>
    </xf>
    <xf numFmtId="0" fontId="10" fillId="6" borderId="49" xfId="0" applyFont="1" applyFill="1" applyBorder="1" applyAlignment="1" applyProtection="1">
      <alignment horizontal="center" vertical="center"/>
      <protection hidden="1"/>
    </xf>
    <xf numFmtId="0" fontId="10" fillId="9" borderId="53" xfId="0" applyFont="1" applyFill="1" applyBorder="1" applyAlignment="1" applyProtection="1">
      <alignment horizontal="center" vertical="center"/>
      <protection hidden="1"/>
    </xf>
    <xf numFmtId="0" fontId="10" fillId="9" borderId="66" xfId="0" applyFont="1" applyFill="1" applyBorder="1" applyAlignment="1" applyProtection="1">
      <alignment horizontal="center" vertical="center"/>
      <protection hidden="1"/>
    </xf>
    <xf numFmtId="0" fontId="21" fillId="21" borderId="1" xfId="0" applyFont="1" applyFill="1" applyBorder="1" applyAlignment="1" applyProtection="1">
      <alignment horizontal="center" vertical="center"/>
      <protection hidden="1"/>
    </xf>
    <xf numFmtId="0" fontId="10" fillId="9" borderId="71" xfId="0" applyFont="1" applyFill="1" applyBorder="1" applyAlignment="1" applyProtection="1">
      <alignment horizontal="center" vertical="center"/>
      <protection hidden="1"/>
    </xf>
    <xf numFmtId="0" fontId="10" fillId="9" borderId="80" xfId="0" applyFont="1" applyFill="1" applyBorder="1" applyAlignment="1" applyProtection="1">
      <alignment horizontal="center" vertical="center"/>
      <protection hidden="1"/>
    </xf>
    <xf numFmtId="0" fontId="10" fillId="9" borderId="72" xfId="0" applyFont="1" applyFill="1" applyBorder="1" applyAlignment="1" applyProtection="1">
      <alignment horizontal="center" vertical="center"/>
      <protection hidden="1"/>
    </xf>
    <xf numFmtId="0" fontId="10" fillId="9" borderId="81" xfId="0" applyFont="1" applyFill="1" applyBorder="1" applyAlignment="1" applyProtection="1">
      <alignment horizontal="center" vertical="center"/>
      <protection hidden="1"/>
    </xf>
    <xf numFmtId="0" fontId="0" fillId="18" borderId="0" xfId="0" applyFill="1" applyAlignment="1" applyProtection="1">
      <alignment horizontal="center" vertical="center"/>
      <protection hidden="1"/>
    </xf>
    <xf numFmtId="0" fontId="37" fillId="19" borderId="0" xfId="0" applyFont="1" applyFill="1" applyAlignment="1">
      <alignment horizontal="center" vertical="center" shrinkToFit="1"/>
    </xf>
    <xf numFmtId="0" fontId="21" fillId="20" borderId="0" xfId="0" applyFont="1" applyFill="1" applyAlignment="1">
      <alignment horizontal="left" vertical="top" wrapText="1"/>
    </xf>
    <xf numFmtId="0" fontId="0" fillId="20" borderId="0" xfId="0" applyFill="1" applyAlignment="1">
      <alignment horizontal="left" vertical="top"/>
    </xf>
    <xf numFmtId="0" fontId="38" fillId="3" borderId="35" xfId="0" applyFont="1" applyFill="1" applyBorder="1" applyAlignment="1">
      <alignment horizontal="center" vertical="center" shrinkToFit="1"/>
    </xf>
    <xf numFmtId="0" fontId="38" fillId="3" borderId="43" xfId="0" applyFont="1" applyFill="1" applyBorder="1" applyAlignment="1">
      <alignment horizontal="center" vertical="center" shrinkToFit="1"/>
    </xf>
    <xf numFmtId="0" fontId="40" fillId="3" borderId="36" xfId="0" applyFont="1" applyFill="1" applyBorder="1" applyAlignment="1">
      <alignment horizontal="center" vertical="center" shrinkToFit="1"/>
    </xf>
    <xf numFmtId="0" fontId="40" fillId="3" borderId="44" xfId="0" applyFont="1" applyFill="1" applyBorder="1" applyAlignment="1">
      <alignment horizontal="center" vertical="center" shrinkToFit="1"/>
    </xf>
    <xf numFmtId="0" fontId="40" fillId="3" borderId="35" xfId="0" applyFont="1" applyFill="1" applyBorder="1" applyAlignment="1">
      <alignment horizontal="center" vertical="center" shrinkToFit="1"/>
    </xf>
    <xf numFmtId="0" fontId="40" fillId="3" borderId="43" xfId="0" applyFont="1" applyFill="1" applyBorder="1" applyAlignment="1">
      <alignment horizontal="center" vertical="center" shrinkToFit="1"/>
    </xf>
    <xf numFmtId="0" fontId="40" fillId="3" borderId="37" xfId="0" applyFont="1" applyFill="1" applyBorder="1" applyAlignment="1">
      <alignment horizontal="center" vertical="center" shrinkToFit="1"/>
    </xf>
    <xf numFmtId="0" fontId="40" fillId="3" borderId="38" xfId="0" applyFont="1" applyFill="1" applyBorder="1" applyAlignment="1">
      <alignment horizontal="center" vertical="center" shrinkToFit="1"/>
    </xf>
    <xf numFmtId="0" fontId="40" fillId="3" borderId="39" xfId="0" applyFont="1" applyFill="1" applyBorder="1" applyAlignment="1">
      <alignment horizontal="center" vertical="center" shrinkToFit="1"/>
    </xf>
    <xf numFmtId="0" fontId="40" fillId="3" borderId="40" xfId="0" applyFont="1" applyFill="1" applyBorder="1" applyAlignment="1">
      <alignment horizontal="center" vertical="center" wrapText="1" shrinkToFit="1"/>
    </xf>
    <xf numFmtId="0" fontId="40" fillId="3" borderId="41" xfId="0" applyFont="1" applyFill="1" applyBorder="1" applyAlignment="1">
      <alignment horizontal="center" vertical="center" wrapText="1" shrinkToFit="1"/>
    </xf>
    <xf numFmtId="0" fontId="40" fillId="3" borderId="38" xfId="0" applyFont="1" applyFill="1" applyBorder="1" applyAlignment="1">
      <alignment horizontal="center" vertical="center" wrapText="1" shrinkToFit="1"/>
    </xf>
    <xf numFmtId="0" fontId="40" fillId="3" borderId="39" xfId="0" applyFont="1" applyFill="1" applyBorder="1" applyAlignment="1">
      <alignment horizontal="center" vertical="center" wrapText="1" shrinkToFit="1"/>
    </xf>
    <xf numFmtId="0" fontId="40" fillId="3" borderId="42" xfId="0" applyFont="1" applyFill="1" applyBorder="1" applyAlignment="1">
      <alignment horizontal="center" vertical="center" shrinkToFit="1"/>
    </xf>
    <xf numFmtId="0" fontId="10" fillId="21" borderId="49" xfId="0" applyFont="1" applyFill="1" applyBorder="1" applyAlignment="1" applyProtection="1">
      <alignment horizontal="center" vertical="center"/>
      <protection hidden="1"/>
    </xf>
    <xf numFmtId="0" fontId="52" fillId="22" borderId="95" xfId="5" applyFont="1" applyFill="1" applyBorder="1" applyAlignment="1">
      <alignment horizontal="center" vertical="center"/>
    </xf>
    <xf numFmtId="0" fontId="52" fillId="22" borderId="96" xfId="5" applyFont="1" applyFill="1" applyBorder="1" applyAlignment="1">
      <alignment horizontal="center" vertical="center"/>
    </xf>
    <xf numFmtId="0" fontId="52" fillId="22" borderId="97" xfId="5" applyFont="1" applyFill="1" applyBorder="1" applyAlignment="1">
      <alignment horizontal="center" vertical="center"/>
    </xf>
    <xf numFmtId="0" fontId="18" fillId="19" borderId="98" xfId="5" applyFill="1" applyBorder="1" applyAlignment="1">
      <alignment horizontal="center" vertical="center"/>
    </xf>
    <xf numFmtId="0" fontId="18" fillId="19" borderId="86" xfId="5" applyFill="1" applyBorder="1" applyAlignment="1">
      <alignment horizontal="center" vertical="center"/>
    </xf>
    <xf numFmtId="0" fontId="18" fillId="19" borderId="84" xfId="5" applyFill="1" applyBorder="1" applyAlignment="1">
      <alignment horizontal="center" vertical="center"/>
    </xf>
    <xf numFmtId="0" fontId="18" fillId="19" borderId="85" xfId="5" applyFill="1" applyBorder="1" applyAlignment="1">
      <alignment horizontal="center" vertical="center"/>
    </xf>
    <xf numFmtId="0" fontId="18" fillId="19" borderId="99" xfId="5" applyFill="1" applyBorder="1" applyAlignment="1">
      <alignment horizontal="center" vertical="center"/>
    </xf>
    <xf numFmtId="0" fontId="18" fillId="19" borderId="100" xfId="5" applyFill="1" applyBorder="1" applyAlignment="1">
      <alignment horizontal="center" vertical="center"/>
    </xf>
    <xf numFmtId="0" fontId="18" fillId="19" borderId="94" xfId="5" applyFill="1" applyBorder="1" applyAlignment="1">
      <alignment horizontal="center" vertical="center"/>
    </xf>
  </cellXfs>
  <cellStyles count="6">
    <cellStyle name="20% - 강조색1" xfId="2" builtinId="30"/>
    <cellStyle name="20% - 강조색2" xfId="3" builtinId="34"/>
    <cellStyle name="20% - 강조색3" xfId="4" builtinId="38"/>
    <cellStyle name="쉼표 [0]" xfId="1" builtinId="6"/>
    <cellStyle name="표준" xfId="0" builtinId="0"/>
    <cellStyle name="표준 2" xfId="5" xr:uid="{00000000-0005-0000-0000-000005000000}"/>
  </cellStyles>
  <dxfs count="12">
    <dxf>
      <font>
        <color auto="1"/>
      </font>
      <fill>
        <patternFill>
          <bgColor theme="7"/>
        </patternFill>
      </fill>
    </dxf>
    <dxf>
      <font>
        <color auto="1"/>
      </font>
      <fill>
        <patternFill>
          <bgColor theme="7"/>
        </patternFill>
      </fill>
    </dxf>
    <dxf>
      <font>
        <color rgb="FF9C0006"/>
      </font>
      <fill>
        <patternFill>
          <bgColor rgb="FFFFC7CE"/>
        </patternFill>
      </fill>
    </dxf>
    <dxf>
      <font>
        <color auto="1"/>
      </font>
      <fill>
        <patternFill>
          <bgColor them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676274</xdr:colOff>
      <xdr:row>26</xdr:row>
      <xdr:rowOff>188322</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220074" cy="5636622"/>
        </a:xfrm>
        <a:prstGeom prst="rect">
          <a:avLst/>
        </a:prstGeom>
      </xdr:spPr>
    </xdr:pic>
    <xdr:clientData/>
  </xdr:twoCellAnchor>
  <xdr:twoCellAnchor editAs="oneCell">
    <xdr:from>
      <xdr:col>0</xdr:col>
      <xdr:colOff>0</xdr:colOff>
      <xdr:row>39</xdr:row>
      <xdr:rowOff>76199</xdr:rowOff>
    </xdr:from>
    <xdr:to>
      <xdr:col>11</xdr:col>
      <xdr:colOff>683961</xdr:colOff>
      <xdr:row>63</xdr:row>
      <xdr:rowOff>161924</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8248649"/>
          <a:ext cx="8227761" cy="5114925"/>
        </a:xfrm>
        <a:prstGeom prst="rect">
          <a:avLst/>
        </a:prstGeom>
      </xdr:spPr>
    </xdr:pic>
    <xdr:clientData/>
  </xdr:twoCellAnchor>
  <xdr:twoCellAnchor editAs="oneCell">
    <xdr:from>
      <xdr:col>0</xdr:col>
      <xdr:colOff>0</xdr:colOff>
      <xdr:row>74</xdr:row>
      <xdr:rowOff>95250</xdr:rowOff>
    </xdr:from>
    <xdr:to>
      <xdr:col>12</xdr:col>
      <xdr:colOff>38100</xdr:colOff>
      <xdr:row>100</xdr:row>
      <xdr:rowOff>177756</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01950"/>
          <a:ext cx="8267700" cy="55308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12423</xdr:colOff>
      <xdr:row>3</xdr:row>
      <xdr:rowOff>12424</xdr:rowOff>
    </xdr:from>
    <xdr:to>
      <xdr:col>7</xdr:col>
      <xdr:colOff>21948</xdr:colOff>
      <xdr:row>6</xdr:row>
      <xdr:rowOff>145774</xdr:rowOff>
    </xdr:to>
    <xdr:sp macro="" textlink="">
      <xdr:nvSpPr>
        <xdr:cNvPr id="2" name="직사각형 1">
          <a:extLst>
            <a:ext uri="{FF2B5EF4-FFF2-40B4-BE49-F238E27FC236}">
              <a16:creationId xmlns:a16="http://schemas.microsoft.com/office/drawing/2014/main" id="{00000000-0008-0000-0D00-000002000000}"/>
            </a:ext>
          </a:extLst>
        </xdr:cNvPr>
        <xdr:cNvSpPr/>
      </xdr:nvSpPr>
      <xdr:spPr>
        <a:xfrm>
          <a:off x="330475" y="807554"/>
          <a:ext cx="3932169" cy="78933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solidFill>
                <a:sysClr val="windowText" lastClr="000000"/>
              </a:solidFill>
            </a:rPr>
            <a:t>public</a:t>
          </a:r>
          <a:r>
            <a:rPr lang="en-US" altLang="ko-KR" sz="1100" baseline="0">
              <a:solidFill>
                <a:sysClr val="windowText" lastClr="000000"/>
              </a:solidFill>
            </a:rPr>
            <a:t> function fn</a:t>
          </a:r>
          <a:r>
            <a:rPr lang="ko-KR" altLang="en-US" sz="1100" baseline="0">
              <a:solidFill>
                <a:sysClr val="windowText" lastClr="000000"/>
              </a:solidFill>
            </a:rPr>
            <a:t>비만도</a:t>
          </a:r>
          <a:r>
            <a:rPr lang="en-US" altLang="ko-KR" sz="1100" baseline="0">
              <a:solidFill>
                <a:sysClr val="windowText" lastClr="000000"/>
              </a:solidFill>
            </a:rPr>
            <a:t>(</a:t>
          </a:r>
          <a:r>
            <a:rPr lang="ko-KR" altLang="en-US" sz="1100" baseline="0">
              <a:solidFill>
                <a:sysClr val="windowText" lastClr="000000"/>
              </a:solidFill>
            </a:rPr>
            <a:t>체중</a:t>
          </a:r>
          <a:r>
            <a:rPr lang="en-US" altLang="ko-KR" sz="1100" baseline="0">
              <a:solidFill>
                <a:sysClr val="windowText" lastClr="000000"/>
              </a:solidFill>
            </a:rPr>
            <a:t>,</a:t>
          </a:r>
          <a:r>
            <a:rPr lang="ko-KR" altLang="en-US" sz="1100" baseline="0">
              <a:solidFill>
                <a:sysClr val="windowText" lastClr="000000"/>
              </a:solidFill>
            </a:rPr>
            <a:t>키</a:t>
          </a:r>
          <a:r>
            <a:rPr lang="en-US" altLang="ko-KR" sz="1100" baseline="0">
              <a:solidFill>
                <a:sysClr val="windowText" lastClr="000000"/>
              </a:solidFill>
            </a:rPr>
            <a:t>)</a:t>
          </a:r>
        </a:p>
        <a:p>
          <a:pPr algn="l"/>
          <a:endParaRPr lang="en-US" altLang="ko-KR" sz="1100" baseline="0">
            <a:solidFill>
              <a:sysClr val="windowText" lastClr="000000"/>
            </a:solidFill>
          </a:endParaRPr>
        </a:p>
        <a:p>
          <a:pPr algn="l"/>
          <a:r>
            <a:rPr lang="en-US" altLang="ko-KR" sz="1100">
              <a:solidFill>
                <a:sysClr val="windowText" lastClr="000000"/>
              </a:solidFill>
            </a:rPr>
            <a:t>end function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5236;%20&#46300;&#46972;&#51060;&#48652;/&#44368;&#47924;_&#49884;&#44036;&#54364;_&#45208;&#51060;&#49828;&#50629;&#47924;/2024&#54617;&#45380;&#46020;%201&#54617;&#44592;%20&#51473;&#44036;&#44256;&#49324;%20&#44048;&#46021;&#49884;&#44036;&#5436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독시간표"/>
      <sheetName val="감독 순번"/>
    </sheetNames>
    <sheetDataSet>
      <sheetData sheetId="0">
        <row r="10">
          <cell r="E10">
            <v>14</v>
          </cell>
          <cell r="F10"/>
          <cell r="G10"/>
          <cell r="H10"/>
          <cell r="I10">
            <v>10</v>
          </cell>
          <cell r="J10"/>
          <cell r="K10"/>
          <cell r="L10">
            <v>41</v>
          </cell>
          <cell r="M10">
            <v>39</v>
          </cell>
          <cell r="N10">
            <v>17</v>
          </cell>
          <cell r="O10">
            <v>31</v>
          </cell>
          <cell r="P10">
            <v>11</v>
          </cell>
          <cell r="Q10">
            <v>48</v>
          </cell>
          <cell r="R10">
            <v>12</v>
          </cell>
          <cell r="S10">
            <v>46</v>
          </cell>
          <cell r="Y10">
            <v>28</v>
          </cell>
          <cell r="Z10">
            <v>6</v>
          </cell>
          <cell r="AA10">
            <v>5</v>
          </cell>
          <cell r="AB10">
            <v>43</v>
          </cell>
          <cell r="AC10">
            <v>32</v>
          </cell>
          <cell r="AD10">
            <v>29</v>
          </cell>
          <cell r="AE10">
            <v>44</v>
          </cell>
        </row>
        <row r="11">
          <cell r="E11"/>
          <cell r="F11"/>
          <cell r="G11"/>
          <cell r="H11"/>
          <cell r="I11"/>
          <cell r="J11"/>
          <cell r="K11"/>
          <cell r="L11">
            <v>2</v>
          </cell>
          <cell r="M11">
            <v>50</v>
          </cell>
          <cell r="N11">
            <v>47</v>
          </cell>
          <cell r="O11">
            <v>45</v>
          </cell>
          <cell r="P11">
            <v>26</v>
          </cell>
          <cell r="Q11">
            <v>19</v>
          </cell>
          <cell r="R11">
            <v>13</v>
          </cell>
          <cell r="S11">
            <v>34</v>
          </cell>
          <cell r="Y11">
            <v>27</v>
          </cell>
          <cell r="Z11">
            <v>20</v>
          </cell>
          <cell r="AA11">
            <v>22</v>
          </cell>
          <cell r="AB11">
            <v>36</v>
          </cell>
          <cell r="AC11">
            <v>52</v>
          </cell>
          <cell r="AD11">
            <v>51</v>
          </cell>
          <cell r="AE11">
            <v>33</v>
          </cell>
        </row>
        <row r="13">
          <cell r="E13">
            <v>11</v>
          </cell>
          <cell r="F13"/>
          <cell r="G13"/>
          <cell r="H13"/>
          <cell r="I13">
            <v>41</v>
          </cell>
          <cell r="J13"/>
          <cell r="K13"/>
          <cell r="L13">
            <v>31</v>
          </cell>
          <cell r="M13"/>
          <cell r="N13"/>
          <cell r="O13"/>
          <cell r="P13">
            <v>12</v>
          </cell>
          <cell r="Q13"/>
          <cell r="R13"/>
          <cell r="S13"/>
          <cell r="Y13">
            <v>18</v>
          </cell>
          <cell r="Z13"/>
          <cell r="AA13"/>
          <cell r="AB13"/>
          <cell r="AC13">
            <v>37</v>
          </cell>
          <cell r="AD13"/>
          <cell r="AE13"/>
        </row>
        <row r="14">
          <cell r="E14"/>
          <cell r="F14"/>
          <cell r="G14"/>
          <cell r="H14"/>
          <cell r="I14"/>
          <cell r="J14"/>
          <cell r="K14"/>
          <cell r="L14"/>
          <cell r="M14"/>
          <cell r="N14"/>
          <cell r="O14"/>
          <cell r="P14"/>
          <cell r="Q14"/>
          <cell r="R14"/>
          <cell r="S14"/>
          <cell r="Y14"/>
          <cell r="Z14"/>
          <cell r="AA14"/>
          <cell r="AB14"/>
          <cell r="AC14"/>
          <cell r="AD14"/>
          <cell r="AE14"/>
        </row>
        <row r="16">
          <cell r="E16">
            <v>42</v>
          </cell>
          <cell r="F16">
            <v>43</v>
          </cell>
          <cell r="G16">
            <v>28</v>
          </cell>
          <cell r="H16">
            <v>45</v>
          </cell>
          <cell r="I16">
            <v>38</v>
          </cell>
          <cell r="J16">
            <v>1</v>
          </cell>
          <cell r="K16">
            <v>26</v>
          </cell>
          <cell r="L16">
            <v>15</v>
          </cell>
          <cell r="M16"/>
          <cell r="N16"/>
          <cell r="O16"/>
          <cell r="P16">
            <v>7</v>
          </cell>
          <cell r="Q16"/>
          <cell r="R16"/>
          <cell r="S16"/>
          <cell r="T16">
            <v>14</v>
          </cell>
          <cell r="U16">
            <v>48</v>
          </cell>
          <cell r="V16">
            <v>30</v>
          </cell>
          <cell r="Y16">
            <v>32</v>
          </cell>
          <cell r="Z16"/>
          <cell r="AA16"/>
          <cell r="AB16"/>
          <cell r="AC16">
            <v>4</v>
          </cell>
          <cell r="AD16"/>
          <cell r="AE16"/>
          <cell r="AI16">
            <v>33</v>
          </cell>
        </row>
        <row r="17">
          <cell r="E17">
            <v>19</v>
          </cell>
          <cell r="F17">
            <v>3</v>
          </cell>
          <cell r="G17">
            <v>25</v>
          </cell>
          <cell r="H17">
            <v>40</v>
          </cell>
          <cell r="I17">
            <v>44</v>
          </cell>
          <cell r="J17">
            <v>31</v>
          </cell>
          <cell r="K17">
            <v>9</v>
          </cell>
          <cell r="L17"/>
          <cell r="M17"/>
          <cell r="N17"/>
          <cell r="O17"/>
          <cell r="P17"/>
          <cell r="Q17"/>
          <cell r="R17"/>
          <cell r="S17"/>
          <cell r="T17">
            <v>46</v>
          </cell>
          <cell r="U17">
            <v>34</v>
          </cell>
          <cell r="V17">
            <v>27</v>
          </cell>
          <cell r="Y17"/>
          <cell r="Z17"/>
          <cell r="AA17"/>
          <cell r="AB17"/>
          <cell r="AC17"/>
          <cell r="AD17"/>
          <cell r="AE17"/>
          <cell r="AI17">
            <v>12</v>
          </cell>
        </row>
        <row r="19">
          <cell r="E19">
            <v>47</v>
          </cell>
          <cell r="F19">
            <v>22</v>
          </cell>
          <cell r="G19">
            <v>26</v>
          </cell>
          <cell r="H19">
            <v>2</v>
          </cell>
          <cell r="I19">
            <v>50</v>
          </cell>
          <cell r="J19">
            <v>37</v>
          </cell>
          <cell r="K19">
            <v>46</v>
          </cell>
          <cell r="L19">
            <v>43</v>
          </cell>
          <cell r="M19">
            <v>7</v>
          </cell>
          <cell r="N19">
            <v>25</v>
          </cell>
          <cell r="O19">
            <v>15</v>
          </cell>
          <cell r="P19">
            <v>9</v>
          </cell>
          <cell r="Q19">
            <v>6</v>
          </cell>
          <cell r="R19">
            <v>42</v>
          </cell>
          <cell r="S19">
            <v>30</v>
          </cell>
          <cell r="Y19">
            <v>44</v>
          </cell>
          <cell r="Z19">
            <v>36</v>
          </cell>
          <cell r="AA19">
            <v>40</v>
          </cell>
          <cell r="AB19">
            <v>39</v>
          </cell>
          <cell r="AC19">
            <v>34</v>
          </cell>
          <cell r="AD19">
            <v>38</v>
          </cell>
          <cell r="AE19">
            <v>45</v>
          </cell>
        </row>
        <row r="20">
          <cell r="E20">
            <v>18</v>
          </cell>
          <cell r="F20">
            <v>1</v>
          </cell>
          <cell r="G20">
            <v>48</v>
          </cell>
          <cell r="H20">
            <v>27</v>
          </cell>
          <cell r="I20">
            <v>52</v>
          </cell>
          <cell r="J20">
            <v>20</v>
          </cell>
          <cell r="K20">
            <v>4</v>
          </cell>
          <cell r="L20">
            <v>5</v>
          </cell>
          <cell r="M20">
            <v>24</v>
          </cell>
          <cell r="N20">
            <v>51</v>
          </cell>
          <cell r="O20">
            <v>11</v>
          </cell>
          <cell r="P20">
            <v>29</v>
          </cell>
          <cell r="Q20">
            <v>14</v>
          </cell>
          <cell r="R20">
            <v>10</v>
          </cell>
          <cell r="S20">
            <v>8</v>
          </cell>
          <cell r="Y20">
            <v>17</v>
          </cell>
          <cell r="Z20">
            <v>32</v>
          </cell>
          <cell r="AA20"/>
          <cell r="AB20">
            <v>35</v>
          </cell>
          <cell r="AC20"/>
          <cell r="AD20">
            <v>53</v>
          </cell>
          <cell r="AE20"/>
        </row>
        <row r="22">
          <cell r="E22">
            <v>11</v>
          </cell>
          <cell r="F22"/>
          <cell r="G22"/>
          <cell r="H22"/>
          <cell r="I22">
            <v>31</v>
          </cell>
          <cell r="J22"/>
          <cell r="K22"/>
          <cell r="L22">
            <v>13</v>
          </cell>
          <cell r="M22"/>
          <cell r="N22"/>
          <cell r="O22"/>
          <cell r="P22">
            <v>30</v>
          </cell>
          <cell r="Q22"/>
          <cell r="R22"/>
          <cell r="S22"/>
          <cell r="Y22">
            <v>20</v>
          </cell>
          <cell r="Z22"/>
          <cell r="AA22"/>
          <cell r="AB22"/>
          <cell r="AC22">
            <v>3</v>
          </cell>
          <cell r="AD22"/>
          <cell r="AE22"/>
        </row>
        <row r="23">
          <cell r="E23"/>
          <cell r="F23"/>
          <cell r="G23"/>
          <cell r="H23"/>
          <cell r="I23"/>
          <cell r="J23"/>
          <cell r="K23"/>
          <cell r="L23"/>
          <cell r="M23"/>
          <cell r="N23"/>
          <cell r="O23"/>
          <cell r="P23"/>
          <cell r="Q23"/>
          <cell r="R23"/>
          <cell r="S23"/>
          <cell r="Y23"/>
          <cell r="Z23"/>
          <cell r="AA23"/>
          <cell r="AB23"/>
          <cell r="AC23"/>
          <cell r="AD23"/>
          <cell r="AE23"/>
        </row>
        <row r="25">
          <cell r="E25">
            <v>4</v>
          </cell>
          <cell r="F25">
            <v>18</v>
          </cell>
          <cell r="G25">
            <v>27</v>
          </cell>
          <cell r="H25">
            <v>11</v>
          </cell>
          <cell r="I25">
            <v>40</v>
          </cell>
          <cell r="J25">
            <v>47</v>
          </cell>
          <cell r="K25">
            <v>33</v>
          </cell>
          <cell r="L25">
            <v>19</v>
          </cell>
          <cell r="M25"/>
          <cell r="N25"/>
          <cell r="O25"/>
          <cell r="P25">
            <v>22</v>
          </cell>
          <cell r="Q25"/>
          <cell r="R25"/>
          <cell r="S25"/>
          <cell r="T25">
            <v>37</v>
          </cell>
          <cell r="U25">
            <v>3</v>
          </cell>
          <cell r="V25">
            <v>31</v>
          </cell>
          <cell r="Y25">
            <v>35</v>
          </cell>
          <cell r="Z25">
            <v>9</v>
          </cell>
          <cell r="AA25">
            <v>25</v>
          </cell>
          <cell r="AJ25">
            <v>34</v>
          </cell>
          <cell r="AK25">
            <v>38</v>
          </cell>
        </row>
        <row r="26">
          <cell r="E26">
            <v>29</v>
          </cell>
          <cell r="F26">
            <v>45</v>
          </cell>
          <cell r="G26">
            <v>43</v>
          </cell>
          <cell r="H26">
            <v>52</v>
          </cell>
          <cell r="I26">
            <v>39</v>
          </cell>
          <cell r="J26">
            <v>2</v>
          </cell>
          <cell r="K26">
            <v>28</v>
          </cell>
          <cell r="L26"/>
          <cell r="M26"/>
          <cell r="N26"/>
          <cell r="O26"/>
          <cell r="P26"/>
          <cell r="Q26"/>
          <cell r="R26"/>
          <cell r="S26"/>
          <cell r="T26">
            <v>38</v>
          </cell>
          <cell r="U26">
            <v>42</v>
          </cell>
          <cell r="V26">
            <v>8</v>
          </cell>
          <cell r="Y26">
            <v>30</v>
          </cell>
          <cell r="Z26">
            <v>50</v>
          </cell>
          <cell r="AA26">
            <v>32</v>
          </cell>
          <cell r="AJ26"/>
          <cell r="AK26"/>
        </row>
        <row r="28">
          <cell r="E28">
            <v>8</v>
          </cell>
          <cell r="F28">
            <v>20</v>
          </cell>
          <cell r="G28">
            <v>53</v>
          </cell>
          <cell r="H28">
            <v>54</v>
          </cell>
          <cell r="I28">
            <v>25</v>
          </cell>
          <cell r="J28">
            <v>41</v>
          </cell>
          <cell r="K28">
            <v>48</v>
          </cell>
          <cell r="L28">
            <v>46</v>
          </cell>
          <cell r="M28">
            <v>15</v>
          </cell>
          <cell r="N28">
            <v>42</v>
          </cell>
          <cell r="O28">
            <v>7</v>
          </cell>
          <cell r="P28">
            <v>44</v>
          </cell>
          <cell r="Q28">
            <v>30</v>
          </cell>
          <cell r="R28">
            <v>34</v>
          </cell>
          <cell r="S28">
            <v>6</v>
          </cell>
          <cell r="AA28">
            <v>39</v>
          </cell>
          <cell r="AB28">
            <v>9</v>
          </cell>
          <cell r="AC28">
            <v>45</v>
          </cell>
          <cell r="AF28">
            <v>50</v>
          </cell>
          <cell r="AG28">
            <v>40</v>
          </cell>
          <cell r="AH28">
            <v>38</v>
          </cell>
          <cell r="AI28">
            <v>32</v>
          </cell>
        </row>
        <row r="29">
          <cell r="E29">
            <v>49</v>
          </cell>
          <cell r="F29">
            <v>21</v>
          </cell>
          <cell r="G29">
            <v>5</v>
          </cell>
          <cell r="H29">
            <v>22</v>
          </cell>
          <cell r="I29">
            <v>51</v>
          </cell>
          <cell r="J29">
            <v>23</v>
          </cell>
          <cell r="K29">
            <v>24</v>
          </cell>
          <cell r="L29">
            <v>1</v>
          </cell>
          <cell r="M29">
            <v>37</v>
          </cell>
          <cell r="N29">
            <v>4</v>
          </cell>
          <cell r="O29">
            <v>28</v>
          </cell>
          <cell r="P29">
            <v>18</v>
          </cell>
          <cell r="Q29">
            <v>3</v>
          </cell>
          <cell r="R29">
            <v>29</v>
          </cell>
          <cell r="S29">
            <v>47</v>
          </cell>
          <cell r="AA29">
            <v>10</v>
          </cell>
          <cell r="AB29">
            <v>35</v>
          </cell>
          <cell r="AC29">
            <v>36</v>
          </cell>
          <cell r="AF29">
            <v>14</v>
          </cell>
          <cell r="AG29">
            <v>13</v>
          </cell>
          <cell r="AH29">
            <v>17</v>
          </cell>
          <cell r="AI29">
            <v>52</v>
          </cell>
        </row>
        <row r="31">
          <cell r="E31">
            <v>2</v>
          </cell>
          <cell r="F31"/>
          <cell r="G31"/>
          <cell r="H31"/>
          <cell r="I31">
            <v>33</v>
          </cell>
          <cell r="J31"/>
          <cell r="K31"/>
          <cell r="L31">
            <v>17</v>
          </cell>
          <cell r="M31"/>
          <cell r="N31"/>
          <cell r="O31"/>
          <cell r="P31">
            <v>41</v>
          </cell>
          <cell r="Q31"/>
          <cell r="R31"/>
          <cell r="S31"/>
          <cell r="Y31">
            <v>21</v>
          </cell>
          <cell r="Z31"/>
          <cell r="AA31"/>
          <cell r="AB31"/>
          <cell r="AC31">
            <v>8</v>
          </cell>
          <cell r="AD31"/>
          <cell r="AE31"/>
        </row>
        <row r="32">
          <cell r="E32"/>
          <cell r="F32"/>
          <cell r="G32"/>
          <cell r="H32"/>
          <cell r="I32"/>
          <cell r="J32"/>
          <cell r="K32"/>
          <cell r="L32"/>
          <cell r="M32"/>
          <cell r="N32"/>
          <cell r="O32"/>
          <cell r="P32"/>
          <cell r="Q32"/>
          <cell r="R32"/>
          <cell r="S32"/>
          <cell r="Y32"/>
          <cell r="Z32"/>
          <cell r="AA32"/>
          <cell r="AB32"/>
          <cell r="AC32"/>
          <cell r="AD32"/>
          <cell r="AE32"/>
        </row>
        <row r="34">
          <cell r="E34">
            <v>10</v>
          </cell>
          <cell r="F34">
            <v>15</v>
          </cell>
          <cell r="G34">
            <v>33</v>
          </cell>
          <cell r="H34">
            <v>29</v>
          </cell>
          <cell r="I34">
            <v>13</v>
          </cell>
          <cell r="J34">
            <v>26</v>
          </cell>
          <cell r="K34">
            <v>19</v>
          </cell>
          <cell r="L34">
            <v>32</v>
          </cell>
          <cell r="M34">
            <v>27</v>
          </cell>
          <cell r="N34">
            <v>34</v>
          </cell>
          <cell r="O34">
            <v>35</v>
          </cell>
          <cell r="P34">
            <v>37</v>
          </cell>
          <cell r="W34">
            <v>1</v>
          </cell>
          <cell r="X34">
            <v>6</v>
          </cell>
          <cell r="Y34">
            <v>25</v>
          </cell>
          <cell r="Z34"/>
          <cell r="AA34"/>
          <cell r="AB34"/>
          <cell r="AC34">
            <v>39</v>
          </cell>
          <cell r="AD34"/>
          <cell r="AE34"/>
          <cell r="AF34">
            <v>14</v>
          </cell>
          <cell r="AG34">
            <v>7</v>
          </cell>
          <cell r="AH34">
            <v>36</v>
          </cell>
        </row>
        <row r="35">
          <cell r="E35">
            <v>12</v>
          </cell>
          <cell r="F35">
            <v>45</v>
          </cell>
          <cell r="G35">
            <v>46</v>
          </cell>
          <cell r="H35">
            <v>51</v>
          </cell>
          <cell r="I35">
            <v>40</v>
          </cell>
          <cell r="J35">
            <v>49</v>
          </cell>
          <cell r="K35">
            <v>23</v>
          </cell>
          <cell r="L35">
            <v>47</v>
          </cell>
          <cell r="M35">
            <v>48</v>
          </cell>
          <cell r="N35">
            <v>43</v>
          </cell>
          <cell r="O35">
            <v>39</v>
          </cell>
          <cell r="P35">
            <v>41</v>
          </cell>
          <cell r="W35"/>
          <cell r="X35"/>
          <cell r="Y35"/>
          <cell r="Z35"/>
          <cell r="AA35"/>
          <cell r="AB35"/>
          <cell r="AC35"/>
          <cell r="AD35"/>
          <cell r="AE35"/>
          <cell r="AF35">
            <v>52</v>
          </cell>
          <cell r="AG35">
            <v>42</v>
          </cell>
          <cell r="AH35">
            <v>21</v>
          </cell>
        </row>
        <row r="37">
          <cell r="E37">
            <v>16</v>
          </cell>
          <cell r="F37"/>
          <cell r="G37"/>
          <cell r="H37"/>
          <cell r="I37">
            <v>50</v>
          </cell>
          <cell r="J37"/>
          <cell r="K37"/>
          <cell r="L37">
            <v>46</v>
          </cell>
          <cell r="M37"/>
          <cell r="N37"/>
          <cell r="O37"/>
          <cell r="P37">
            <v>47</v>
          </cell>
          <cell r="Q37"/>
          <cell r="R37"/>
          <cell r="S37"/>
          <cell r="Y37">
            <v>36</v>
          </cell>
          <cell r="Z37"/>
          <cell r="AA37"/>
          <cell r="AB37"/>
          <cell r="AC37">
            <v>35</v>
          </cell>
          <cell r="AD37"/>
          <cell r="AE37"/>
        </row>
        <row r="38">
          <cell r="E38"/>
          <cell r="F38"/>
          <cell r="G38"/>
          <cell r="H38"/>
          <cell r="I38"/>
          <cell r="J38"/>
          <cell r="K38"/>
          <cell r="L38"/>
          <cell r="M38"/>
          <cell r="N38"/>
          <cell r="O38"/>
          <cell r="P38"/>
          <cell r="Q38"/>
          <cell r="R38"/>
          <cell r="S38"/>
          <cell r="Y38"/>
          <cell r="Z38"/>
          <cell r="AA38"/>
          <cell r="AB38"/>
          <cell r="AC38"/>
          <cell r="AD38"/>
          <cell r="AE38"/>
        </row>
        <row r="40">
          <cell r="E40">
            <v>28</v>
          </cell>
          <cell r="F40">
            <v>17</v>
          </cell>
          <cell r="G40">
            <v>18</v>
          </cell>
          <cell r="H40">
            <v>8</v>
          </cell>
          <cell r="I40">
            <v>24</v>
          </cell>
          <cell r="J40">
            <v>27</v>
          </cell>
          <cell r="K40">
            <v>12</v>
          </cell>
          <cell r="L40">
            <v>19</v>
          </cell>
          <cell r="M40">
            <v>4</v>
          </cell>
          <cell r="N40">
            <v>10</v>
          </cell>
          <cell r="O40">
            <v>5</v>
          </cell>
          <cell r="P40">
            <v>20</v>
          </cell>
          <cell r="Q40">
            <v>21</v>
          </cell>
          <cell r="R40">
            <v>13</v>
          </cell>
          <cell r="S40">
            <v>22</v>
          </cell>
          <cell r="Y40">
            <v>1</v>
          </cell>
          <cell r="Z40">
            <v>29</v>
          </cell>
          <cell r="AA40">
            <v>2</v>
          </cell>
          <cell r="AB40">
            <v>35</v>
          </cell>
          <cell r="AC40">
            <v>36</v>
          </cell>
          <cell r="AD40">
            <v>3</v>
          </cell>
          <cell r="AE40">
            <v>47</v>
          </cell>
        </row>
        <row r="41">
          <cell r="E41">
            <v>44</v>
          </cell>
          <cell r="F41">
            <v>42</v>
          </cell>
          <cell r="G41">
            <v>43</v>
          </cell>
          <cell r="H41">
            <v>23</v>
          </cell>
          <cell r="I41">
            <v>16</v>
          </cell>
          <cell r="J41">
            <v>48</v>
          </cell>
          <cell r="K41">
            <v>46</v>
          </cell>
          <cell r="L41">
            <v>26</v>
          </cell>
          <cell r="M41">
            <v>15</v>
          </cell>
          <cell r="N41">
            <v>7</v>
          </cell>
          <cell r="O41">
            <v>37</v>
          </cell>
          <cell r="P41">
            <v>38</v>
          </cell>
          <cell r="Q41">
            <v>49</v>
          </cell>
          <cell r="R41">
            <v>6</v>
          </cell>
          <cell r="S41">
            <v>40</v>
          </cell>
          <cell r="Y41">
            <v>34</v>
          </cell>
          <cell r="Z41">
            <v>33</v>
          </cell>
          <cell r="AA41">
            <v>30</v>
          </cell>
          <cell r="AB41">
            <v>51</v>
          </cell>
          <cell r="AC41">
            <v>9</v>
          </cell>
          <cell r="AD41">
            <v>41</v>
          </cell>
          <cell r="AE41">
            <v>50</v>
          </cell>
        </row>
        <row r="43">
          <cell r="E43">
            <v>48</v>
          </cell>
          <cell r="F43"/>
          <cell r="G43"/>
          <cell r="H43"/>
          <cell r="I43">
            <v>45</v>
          </cell>
          <cell r="J43"/>
          <cell r="K43"/>
          <cell r="L43">
            <v>42</v>
          </cell>
          <cell r="M43"/>
          <cell r="N43"/>
          <cell r="O43"/>
          <cell r="P43">
            <v>5</v>
          </cell>
          <cell r="Q43"/>
          <cell r="R43"/>
          <cell r="S43"/>
          <cell r="Y43">
            <v>40</v>
          </cell>
          <cell r="Z43"/>
          <cell r="AA43"/>
          <cell r="AB43"/>
          <cell r="AC43">
            <v>44</v>
          </cell>
          <cell r="AD43"/>
          <cell r="AE43"/>
        </row>
        <row r="44">
          <cell r="E44"/>
          <cell r="F44"/>
          <cell r="G44"/>
          <cell r="H44"/>
          <cell r="I44"/>
          <cell r="J44"/>
          <cell r="K44"/>
          <cell r="L44"/>
          <cell r="M44"/>
          <cell r="N44"/>
          <cell r="O44"/>
          <cell r="P44"/>
          <cell r="Q44"/>
          <cell r="R44"/>
          <cell r="S44"/>
          <cell r="Y44"/>
          <cell r="Z44"/>
          <cell r="AA44"/>
          <cell r="AB44"/>
          <cell r="AC44"/>
          <cell r="AD44"/>
          <cell r="AE44"/>
        </row>
        <row r="46">
          <cell r="E46">
            <v>50</v>
          </cell>
          <cell r="F46">
            <v>3</v>
          </cell>
          <cell r="G46">
            <v>10</v>
          </cell>
          <cell r="H46">
            <v>13</v>
          </cell>
          <cell r="I46">
            <v>2</v>
          </cell>
          <cell r="J46">
            <v>1</v>
          </cell>
          <cell r="K46">
            <v>17</v>
          </cell>
          <cell r="L46">
            <v>12</v>
          </cell>
          <cell r="M46">
            <v>4</v>
          </cell>
          <cell r="N46">
            <v>14</v>
          </cell>
          <cell r="O46">
            <v>5</v>
          </cell>
          <cell r="P46">
            <v>20</v>
          </cell>
          <cell r="Q46">
            <v>19</v>
          </cell>
          <cell r="X46">
            <v>43</v>
          </cell>
          <cell r="Y46">
            <v>18</v>
          </cell>
          <cell r="Z46">
            <v>8</v>
          </cell>
          <cell r="AA46">
            <v>22</v>
          </cell>
          <cell r="AB46">
            <v>21</v>
          </cell>
          <cell r="AC46">
            <v>24</v>
          </cell>
          <cell r="AG46">
            <v>9</v>
          </cell>
        </row>
        <row r="47">
          <cell r="E47">
            <v>41</v>
          </cell>
          <cell r="F47">
            <v>28</v>
          </cell>
          <cell r="G47">
            <v>23</v>
          </cell>
          <cell r="H47">
            <v>35</v>
          </cell>
          <cell r="I47">
            <v>37</v>
          </cell>
          <cell r="J47">
            <v>25</v>
          </cell>
          <cell r="K47">
            <v>16</v>
          </cell>
          <cell r="L47">
            <v>44</v>
          </cell>
          <cell r="M47">
            <v>26</v>
          </cell>
          <cell r="N47">
            <v>30</v>
          </cell>
          <cell r="O47">
            <v>32</v>
          </cell>
          <cell r="P47">
            <v>15</v>
          </cell>
          <cell r="Q47">
            <v>6</v>
          </cell>
          <cell r="Y47">
            <v>39</v>
          </cell>
          <cell r="Z47">
            <v>38</v>
          </cell>
          <cell r="AA47">
            <v>49</v>
          </cell>
          <cell r="AB47">
            <v>7</v>
          </cell>
          <cell r="AC47">
            <v>33</v>
          </cell>
        </row>
        <row r="52">
          <cell r="E52" t="str">
            <v>임웅묵</v>
          </cell>
          <cell r="I52" t="str">
            <v>김윤정</v>
          </cell>
          <cell r="M52" t="str">
            <v>윤나라</v>
          </cell>
          <cell r="Q52" t="str">
            <v>김진솔</v>
          </cell>
          <cell r="V52" t="str">
            <v>오수연</v>
          </cell>
          <cell r="AB52" t="str">
            <v>사라홀먼</v>
          </cell>
        </row>
        <row r="53">
          <cell r="E53" t="str">
            <v>김미정</v>
          </cell>
          <cell r="I53" t="str">
            <v>황경화</v>
          </cell>
          <cell r="M53" t="str">
            <v>조대현</v>
          </cell>
          <cell r="Q53" t="str">
            <v>고단비</v>
          </cell>
          <cell r="V53" t="str">
            <v>이진영</v>
          </cell>
          <cell r="AB53" t="str">
            <v>지엔이춘</v>
          </cell>
        </row>
        <row r="54">
          <cell r="E54" t="str">
            <v>이여옥</v>
          </cell>
          <cell r="I54" t="str">
            <v>박상송</v>
          </cell>
          <cell r="M54" t="str">
            <v>이의영</v>
          </cell>
          <cell r="Q54" t="str">
            <v>김현우</v>
          </cell>
          <cell r="V54" t="str">
            <v>박홍재</v>
          </cell>
          <cell r="AB54" t="str">
            <v>유청하</v>
          </cell>
        </row>
        <row r="55">
          <cell r="E55" t="str">
            <v>류길수</v>
          </cell>
          <cell r="I55" t="str">
            <v>권나현</v>
          </cell>
          <cell r="M55" t="str">
            <v>김종미</v>
          </cell>
          <cell r="Q55" t="str">
            <v>조은채</v>
          </cell>
          <cell r="V55" t="str">
            <v>김상준</v>
          </cell>
          <cell r="AB55" t="str">
            <v>김여울</v>
          </cell>
        </row>
        <row r="56">
          <cell r="E56" t="str">
            <v>박진성</v>
          </cell>
          <cell r="I56" t="str">
            <v>김문섭</v>
          </cell>
          <cell r="M56" t="str">
            <v>서해지</v>
          </cell>
          <cell r="Q56" t="str">
            <v>한상경</v>
          </cell>
          <cell r="V56" t="str">
            <v>은연주</v>
          </cell>
        </row>
        <row r="57">
          <cell r="E57" t="str">
            <v>최병선</v>
          </cell>
          <cell r="I57" t="str">
            <v>박한샘</v>
          </cell>
          <cell r="M57" t="str">
            <v>정석환</v>
          </cell>
          <cell r="Q57" t="str">
            <v>송형래</v>
          </cell>
          <cell r="V57" t="str">
            <v>박유성</v>
          </cell>
        </row>
        <row r="58">
          <cell r="E58" t="str">
            <v>유미</v>
          </cell>
          <cell r="I58" t="str">
            <v>김경애</v>
          </cell>
          <cell r="M58" t="str">
            <v>조현주</v>
          </cell>
          <cell r="Q58" t="str">
            <v>전유현</v>
          </cell>
          <cell r="V58" t="str">
            <v>홍지훈</v>
          </cell>
        </row>
        <row r="59">
          <cell r="E59" t="str">
            <v>양향숙</v>
          </cell>
          <cell r="I59" t="str">
            <v>김영기</v>
          </cell>
          <cell r="M59" t="str">
            <v>최인호</v>
          </cell>
          <cell r="Q59" t="str">
            <v>김유진</v>
          </cell>
          <cell r="V59" t="str">
            <v>정형준</v>
          </cell>
        </row>
        <row r="60">
          <cell r="E60" t="str">
            <v>차용매</v>
          </cell>
          <cell r="I60" t="str">
            <v>김치범</v>
          </cell>
          <cell r="M60" t="str">
            <v>조영정</v>
          </cell>
          <cell r="Q60" t="str">
            <v>차미숙</v>
          </cell>
          <cell r="V60" t="str">
            <v>용세라</v>
          </cell>
        </row>
        <row r="61">
          <cell r="E61" t="str">
            <v>김남희</v>
          </cell>
          <cell r="I61" t="str">
            <v>이지연</v>
          </cell>
          <cell r="M61" t="str">
            <v>신윤미</v>
          </cell>
          <cell r="Q61" t="str">
            <v>이은경</v>
          </cell>
          <cell r="V61" t="str">
            <v>양차영</v>
          </cell>
        </row>
      </sheetData>
      <sheetData sheetId="1">
        <row r="5">
          <cell r="B5">
            <v>1</v>
          </cell>
          <cell r="G5">
            <v>6</v>
          </cell>
        </row>
        <row r="6">
          <cell r="B6">
            <v>2</v>
          </cell>
          <cell r="G6">
            <v>6</v>
          </cell>
        </row>
        <row r="7">
          <cell r="B7">
            <v>3</v>
          </cell>
          <cell r="G7">
            <v>6</v>
          </cell>
        </row>
        <row r="8">
          <cell r="B8">
            <v>4</v>
          </cell>
          <cell r="G8">
            <v>6</v>
          </cell>
        </row>
        <row r="9">
          <cell r="B9">
            <v>5</v>
          </cell>
          <cell r="G9">
            <v>6</v>
          </cell>
        </row>
        <row r="10">
          <cell r="B10">
            <v>6</v>
          </cell>
          <cell r="G10">
            <v>6</v>
          </cell>
        </row>
        <row r="11">
          <cell r="B11">
            <v>7</v>
          </cell>
          <cell r="G11">
            <v>6</v>
          </cell>
        </row>
        <row r="12">
          <cell r="B12">
            <v>8</v>
          </cell>
          <cell r="G12">
            <v>6</v>
          </cell>
        </row>
        <row r="13">
          <cell r="B13">
            <v>9</v>
          </cell>
          <cell r="G13">
            <v>6</v>
          </cell>
        </row>
        <row r="14">
          <cell r="B14">
            <v>10</v>
          </cell>
          <cell r="G14">
            <v>6</v>
          </cell>
        </row>
        <row r="15">
          <cell r="B15">
            <v>11</v>
          </cell>
          <cell r="G15">
            <v>5</v>
          </cell>
        </row>
        <row r="16">
          <cell r="B16">
            <v>12</v>
          </cell>
          <cell r="G16">
            <v>6</v>
          </cell>
        </row>
        <row r="17">
          <cell r="B17">
            <v>13</v>
          </cell>
          <cell r="G17">
            <v>6</v>
          </cell>
        </row>
        <row r="18">
          <cell r="B18">
            <v>14</v>
          </cell>
          <cell r="G18">
            <v>6</v>
          </cell>
        </row>
        <row r="19">
          <cell r="B19">
            <v>15</v>
          </cell>
          <cell r="G19">
            <v>6</v>
          </cell>
        </row>
        <row r="20">
          <cell r="B20">
            <v>16</v>
          </cell>
          <cell r="G20">
            <v>3</v>
          </cell>
        </row>
        <row r="21">
          <cell r="B21">
            <v>17</v>
          </cell>
          <cell r="G21">
            <v>6</v>
          </cell>
        </row>
        <row r="22">
          <cell r="B22">
            <v>18</v>
          </cell>
          <cell r="G22">
            <v>6</v>
          </cell>
        </row>
        <row r="23">
          <cell r="B23">
            <v>19</v>
          </cell>
          <cell r="G23">
            <v>6</v>
          </cell>
        </row>
        <row r="24">
          <cell r="B24">
            <v>20</v>
          </cell>
          <cell r="G24">
            <v>6</v>
          </cell>
        </row>
        <row r="25">
          <cell r="B25">
            <v>21</v>
          </cell>
          <cell r="G25">
            <v>5</v>
          </cell>
        </row>
        <row r="26">
          <cell r="B26">
            <v>22</v>
          </cell>
          <cell r="G26">
            <v>6</v>
          </cell>
        </row>
        <row r="27">
          <cell r="B27">
            <v>23</v>
          </cell>
          <cell r="G27">
            <v>4</v>
          </cell>
        </row>
        <row r="28">
          <cell r="B28">
            <v>24</v>
          </cell>
          <cell r="G28">
            <v>4</v>
          </cell>
        </row>
        <row r="29">
          <cell r="B29">
            <v>25</v>
          </cell>
          <cell r="G29">
            <v>6</v>
          </cell>
        </row>
        <row r="30">
          <cell r="B30">
            <v>26</v>
          </cell>
          <cell r="G30">
            <v>6</v>
          </cell>
        </row>
        <row r="31">
          <cell r="B31">
            <v>27</v>
          </cell>
          <cell r="G31">
            <v>6</v>
          </cell>
        </row>
        <row r="32">
          <cell r="B32">
            <v>28</v>
          </cell>
          <cell r="G32">
            <v>6</v>
          </cell>
        </row>
        <row r="33">
          <cell r="B33">
            <v>29</v>
          </cell>
          <cell r="G33">
            <v>6</v>
          </cell>
        </row>
        <row r="34">
          <cell r="B34">
            <v>30</v>
          </cell>
          <cell r="G34">
            <v>7</v>
          </cell>
        </row>
        <row r="35">
          <cell r="B35">
            <v>31</v>
          </cell>
          <cell r="G35">
            <v>5</v>
          </cell>
        </row>
        <row r="36">
          <cell r="B36">
            <v>32</v>
          </cell>
          <cell r="G36">
            <v>7</v>
          </cell>
        </row>
        <row r="37">
          <cell r="B37">
            <v>33</v>
          </cell>
          <cell r="G37">
            <v>7</v>
          </cell>
        </row>
        <row r="38">
          <cell r="B38">
            <v>34</v>
          </cell>
          <cell r="G38">
            <v>7</v>
          </cell>
        </row>
        <row r="39">
          <cell r="B39">
            <v>35</v>
          </cell>
          <cell r="G39">
            <v>7</v>
          </cell>
        </row>
        <row r="40">
          <cell r="B40">
            <v>36</v>
          </cell>
          <cell r="G40">
            <v>6</v>
          </cell>
        </row>
        <row r="41">
          <cell r="B41">
            <v>37</v>
          </cell>
          <cell r="G41">
            <v>7</v>
          </cell>
        </row>
        <row r="42">
          <cell r="B42">
            <v>38</v>
          </cell>
          <cell r="G42">
            <v>7</v>
          </cell>
        </row>
        <row r="43">
          <cell r="B43">
            <v>39</v>
          </cell>
          <cell r="G43">
            <v>7</v>
          </cell>
        </row>
        <row r="44">
          <cell r="B44">
            <v>40</v>
          </cell>
          <cell r="G44">
            <v>7</v>
          </cell>
        </row>
        <row r="45">
          <cell r="B45">
            <v>41</v>
          </cell>
          <cell r="G45">
            <v>7</v>
          </cell>
        </row>
        <row r="46">
          <cell r="B46">
            <v>42</v>
          </cell>
          <cell r="G46">
            <v>7</v>
          </cell>
        </row>
        <row r="47">
          <cell r="B47">
            <v>43</v>
          </cell>
          <cell r="G47">
            <v>7</v>
          </cell>
        </row>
        <row r="48">
          <cell r="B48">
            <v>44</v>
          </cell>
          <cell r="G48">
            <v>7</v>
          </cell>
        </row>
        <row r="49">
          <cell r="B49">
            <v>45</v>
          </cell>
          <cell r="G49">
            <v>7</v>
          </cell>
        </row>
        <row r="50">
          <cell r="B50">
            <v>46</v>
          </cell>
          <cell r="G50">
            <v>7</v>
          </cell>
        </row>
        <row r="51">
          <cell r="B51">
            <v>47</v>
          </cell>
          <cell r="G51">
            <v>7</v>
          </cell>
        </row>
        <row r="52">
          <cell r="B52">
            <v>48</v>
          </cell>
          <cell r="G52">
            <v>7</v>
          </cell>
        </row>
        <row r="53">
          <cell r="B53">
            <v>49</v>
          </cell>
          <cell r="G53">
            <v>4</v>
          </cell>
        </row>
        <row r="54">
          <cell r="B54">
            <v>50</v>
          </cell>
          <cell r="G54">
            <v>7</v>
          </cell>
        </row>
        <row r="55">
          <cell r="B55">
            <v>51</v>
          </cell>
          <cell r="G55">
            <v>5</v>
          </cell>
        </row>
        <row r="56">
          <cell r="B56">
            <v>52</v>
          </cell>
          <cell r="G56">
            <v>5</v>
          </cell>
        </row>
        <row r="57">
          <cell r="B57">
            <v>53</v>
          </cell>
          <cell r="G57">
            <v>2</v>
          </cell>
        </row>
        <row r="58">
          <cell r="B58">
            <v>54</v>
          </cell>
          <cell r="G58">
            <v>1</v>
          </cell>
        </row>
      </sheetData>
    </sheetDataSet>
  </externalBook>
</externalLink>
</file>

<file path=xl/persons/person.xml><?xml version="1.0" encoding="utf-8"?>
<personList xmlns="http://schemas.microsoft.com/office/spreadsheetml/2018/threadedcomments" xmlns:x="http://schemas.openxmlformats.org/spreadsheetml/2006/main">
  <person displayName="정형준" id="{5F419B55-F302-4988-B72F-5ADE4213ABC7}" userId="S::victorjung@o365.jne.go.kr::c4de736f-ff4b-4878-9850-2221a7e6d29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5613.64957858796" createdVersion="8" refreshedVersion="8" minRefreshableVersion="3" recordCount="4" xr:uid="{46F86159-78C4-47D0-9408-416A97B12590}">
  <cacheSource type="worksheet">
    <worksheetSource ref="A1:C5" sheet="FILENAME"/>
  </cacheSource>
  <cacheFields count="3">
    <cacheField name="1" numFmtId="0">
      <sharedItems containsSemiMixedTypes="0" containsString="0" containsNumber="1" containsInteger="1" minValue="2" maxValue="5" count="4">
        <n v="2"/>
        <n v="3"/>
        <n v="4"/>
        <n v="5"/>
      </sharedItems>
    </cacheField>
    <cacheField name="파일이름 알아내기" numFmtId="0">
      <sharedItems containsBlank="1"/>
    </cacheField>
    <cacheField name="G:\내 드라이브\Google Drive\00.외고_금평원\컴활&amp;문서작성\샘플파일\[엑셀강의용(역사포함).xlsx]Sheet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s v="현 시트이름 알아내기"/>
    <s v="Sheet1"/>
  </r>
  <r>
    <x v="1"/>
    <m/>
    <m/>
  </r>
  <r>
    <x v="2"/>
    <m/>
    <m/>
  </r>
  <r>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3A2916-91A1-4D76-BD8B-A68193FF1FEB}" name="피벗 테이블384"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C16" firstHeaderRow="0" firstDataRow="0" firstDataCol="0" rowPageCount="1" colPageCount="1"/>
  <pivotFields count="3">
    <pivotField axis="axisPage" showAll="0">
      <items count="5">
        <item x="0"/>
        <item x="1"/>
        <item x="2"/>
        <item x="3"/>
        <item t="default"/>
      </items>
    </pivotField>
    <pivotField showAll="0"/>
    <pivotField showAll="0"/>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4-11-23T09:28:27.35" personId="{5F419B55-F302-4988-B72F-5ADE4213ABC7}" id="{95295C2B-D3C2-411F-9879-5433408C0ADA}">
    <text>1.셀서식에서 보호-잠금해제
2.검토- 시트보호</text>
  </threadedComment>
  <threadedComment ref="H1" dT="2024-11-23T09:49:21.69" personId="{5F419B55-F302-4988-B72F-5ADE4213ABC7}" id="{554C55B7-3BE7-40D1-AAD3-C4F3E8B0BF4D}">
    <text>1. 셀서식-전체 잠금해제-이 셀만 잠금
2. 검토- 시트보호</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29:E104"/>
  <sheetViews>
    <sheetView workbookViewId="0">
      <selection activeCell="N11" sqref="N11"/>
    </sheetView>
  </sheetViews>
  <sheetFormatPr defaultRowHeight="17.399999999999999"/>
  <sheetData>
    <row r="29" spans="1:4" ht="30">
      <c r="A29" s="225" t="s">
        <v>2061</v>
      </c>
      <c r="B29" s="225"/>
      <c r="C29" s="225"/>
      <c r="D29" s="226"/>
    </row>
    <row r="66" spans="1:4" ht="30">
      <c r="A66" s="225" t="s">
        <v>2060</v>
      </c>
      <c r="B66" s="225"/>
      <c r="C66" s="225"/>
      <c r="D66" s="226"/>
    </row>
    <row r="104" spans="1:5" ht="30">
      <c r="A104" s="225" t="s">
        <v>2062</v>
      </c>
      <c r="B104" s="225"/>
      <c r="C104" s="225"/>
      <c r="D104" s="225"/>
      <c r="E104" s="225"/>
    </row>
  </sheetData>
  <mergeCells count="3">
    <mergeCell ref="A66:D66"/>
    <mergeCell ref="A29:D29"/>
    <mergeCell ref="A104:E104"/>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Q34"/>
  <sheetViews>
    <sheetView topLeftCell="A16" zoomScaleNormal="100" workbookViewId="0">
      <selection activeCell="Q23" sqref="Q23"/>
    </sheetView>
  </sheetViews>
  <sheetFormatPr defaultRowHeight="17.399999999999999"/>
  <cols>
    <col min="1" max="1" width="10.5" customWidth="1"/>
    <col min="2" max="2" width="14.09765625" customWidth="1"/>
    <col min="3" max="3" width="11.59765625" customWidth="1"/>
    <col min="4" max="4" width="14.5" customWidth="1"/>
    <col min="5" max="9" width="0.8984375" customWidth="1"/>
    <col min="10" max="10" width="19.3984375" customWidth="1"/>
    <col min="11" max="15" width="0.69921875" customWidth="1"/>
    <col min="16" max="16" width="26.09765625" customWidth="1"/>
    <col min="17" max="17" width="22.59765625" customWidth="1"/>
  </cols>
  <sheetData>
    <row r="1" spans="1:17" ht="19.5" customHeight="1">
      <c r="A1" s="24" t="s">
        <v>24</v>
      </c>
    </row>
    <row r="2" spans="1:17">
      <c r="A2" s="25" t="s">
        <v>59</v>
      </c>
      <c r="B2" s="46" t="s">
        <v>46</v>
      </c>
      <c r="C2" s="46"/>
      <c r="D2" s="46"/>
      <c r="P2" t="s">
        <v>2322</v>
      </c>
      <c r="Q2" t="str" cm="1">
        <f t="array" aca="1" ref="Q2" ca="1">CELL("filename")</f>
        <v>C:\Users\User\AppData\Local\Temp\BNZ.68d1e2501857e328\KIKcd_B.20210101.xlsx</v>
      </c>
    </row>
    <row r="3" spans="1:17">
      <c r="A3" s="25"/>
      <c r="B3" s="46" t="s">
        <v>33</v>
      </c>
      <c r="C3" s="46" t="s">
        <v>57</v>
      </c>
      <c r="D3" s="46"/>
      <c r="J3" t="s">
        <v>2304</v>
      </c>
      <c r="P3" t="s">
        <v>2323</v>
      </c>
      <c r="Q3" t="e" cm="1">
        <f t="array" aca="1" ref="Q3" ca="1">MID(    CELL("filename"),      FIND("]",   CELL("filename"))+1,50)</f>
        <v>#VALUE!</v>
      </c>
    </row>
    <row r="4" spans="1:17">
      <c r="A4" s="25"/>
      <c r="B4" s="46" t="s">
        <v>35</v>
      </c>
      <c r="C4" s="46" t="s">
        <v>36</v>
      </c>
      <c r="D4" s="46" t="s">
        <v>37</v>
      </c>
    </row>
    <row r="5" spans="1:17">
      <c r="A5" s="25"/>
      <c r="B5" s="46" t="s">
        <v>54</v>
      </c>
      <c r="C5" s="46"/>
      <c r="D5" s="46"/>
    </row>
    <row r="6" spans="1:17">
      <c r="A6" s="25"/>
      <c r="B6" s="46" t="s">
        <v>55</v>
      </c>
      <c r="C6" s="46"/>
      <c r="D6" s="46" t="s">
        <v>58</v>
      </c>
    </row>
    <row r="7" spans="1:17" ht="6" customHeight="1">
      <c r="A7" s="25"/>
    </row>
    <row r="8" spans="1:17">
      <c r="A8" s="25"/>
      <c r="P8" t="s">
        <v>198</v>
      </c>
    </row>
    <row r="9" spans="1:17">
      <c r="A9" s="25" t="s">
        <v>60</v>
      </c>
      <c r="B9" s="46" t="s">
        <v>25</v>
      </c>
      <c r="C9" s="46" t="s">
        <v>47</v>
      </c>
      <c r="D9" s="46"/>
      <c r="P9" t="s">
        <v>181</v>
      </c>
      <c r="Q9" t="s">
        <v>180</v>
      </c>
    </row>
    <row r="10" spans="1:17">
      <c r="A10" s="25"/>
      <c r="B10" s="46" t="s">
        <v>39</v>
      </c>
      <c r="C10" s="46" t="s">
        <v>53</v>
      </c>
      <c r="D10" s="46" t="s">
        <v>96</v>
      </c>
      <c r="J10" s="53" t="s">
        <v>2137</v>
      </c>
      <c r="Q10" t="s">
        <v>182</v>
      </c>
    </row>
    <row r="11" spans="1:17">
      <c r="A11" s="25"/>
      <c r="B11" s="46" t="s">
        <v>52</v>
      </c>
      <c r="C11" s="46"/>
      <c r="D11" s="46"/>
      <c r="J11" s="6" t="s">
        <v>199</v>
      </c>
      <c r="P11" t="s">
        <v>183</v>
      </c>
      <c r="Q11" t="s">
        <v>184</v>
      </c>
    </row>
    <row r="12" spans="1:17">
      <c r="A12" s="25"/>
      <c r="B12" t="s">
        <v>48</v>
      </c>
      <c r="C12">
        <v>1</v>
      </c>
      <c r="D12">
        <v>2</v>
      </c>
      <c r="J12" s="6" t="s">
        <v>200</v>
      </c>
      <c r="P12" t="s">
        <v>185</v>
      </c>
      <c r="Q12" s="52" t="s">
        <v>186</v>
      </c>
    </row>
    <row r="13" spans="1:17">
      <c r="A13" s="25"/>
      <c r="J13" s="3" t="s">
        <v>173</v>
      </c>
      <c r="P13" t="s">
        <v>187</v>
      </c>
      <c r="Q13" t="s">
        <v>188</v>
      </c>
    </row>
    <row r="14" spans="1:17">
      <c r="A14" s="25"/>
      <c r="J14" s="3" t="s">
        <v>174</v>
      </c>
      <c r="P14" t="s">
        <v>189</v>
      </c>
      <c r="Q14" t="s">
        <v>190</v>
      </c>
    </row>
    <row r="15" spans="1:17">
      <c r="A15" s="25" t="s">
        <v>61</v>
      </c>
      <c r="B15" s="46" t="s">
        <v>26</v>
      </c>
      <c r="C15" s="46"/>
      <c r="D15" s="46"/>
      <c r="J15" s="3" t="s">
        <v>175</v>
      </c>
      <c r="P15" t="s">
        <v>191</v>
      </c>
      <c r="Q15" t="s">
        <v>192</v>
      </c>
    </row>
    <row r="16" spans="1:17">
      <c r="A16" s="25"/>
      <c r="B16" s="46" t="s">
        <v>38</v>
      </c>
      <c r="C16" s="46"/>
      <c r="D16" s="46"/>
      <c r="J16" s="3" t="s">
        <v>178</v>
      </c>
      <c r="P16" t="s">
        <v>193</v>
      </c>
    </row>
    <row r="17" spans="1:16">
      <c r="A17" s="25"/>
      <c r="B17" s="46" t="s">
        <v>27</v>
      </c>
      <c r="C17" s="46" t="s">
        <v>28</v>
      </c>
      <c r="D17" s="46"/>
      <c r="J17" s="3" t="s">
        <v>176</v>
      </c>
      <c r="P17" t="s">
        <v>194</v>
      </c>
    </row>
    <row r="18" spans="1:16">
      <c r="A18" s="25"/>
      <c r="B18" s="46" t="s">
        <v>29</v>
      </c>
      <c r="C18" s="46" t="s">
        <v>68</v>
      </c>
      <c r="D18" s="46" t="s">
        <v>34</v>
      </c>
      <c r="J18" s="3" t="s">
        <v>179</v>
      </c>
      <c r="P18" t="s">
        <v>195</v>
      </c>
    </row>
    <row r="19" spans="1:16">
      <c r="A19" s="25"/>
      <c r="B19" s="46" t="s">
        <v>56</v>
      </c>
      <c r="C19" s="46"/>
      <c r="D19" s="46"/>
      <c r="J19" s="3" t="s">
        <v>177</v>
      </c>
      <c r="P19" t="s">
        <v>196</v>
      </c>
    </row>
    <row r="20" spans="1:16">
      <c r="A20" s="25"/>
      <c r="P20" t="s">
        <v>197</v>
      </c>
    </row>
    <row r="21" spans="1:16" ht="3.75" customHeight="1">
      <c r="A21" s="25"/>
    </row>
    <row r="22" spans="1:16">
      <c r="A22" s="25" t="s">
        <v>66</v>
      </c>
      <c r="B22" s="46" t="s">
        <v>32</v>
      </c>
      <c r="C22" s="46" t="s">
        <v>49</v>
      </c>
      <c r="D22" s="46" t="s">
        <v>50</v>
      </c>
    </row>
    <row r="23" spans="1:16">
      <c r="A23" s="25"/>
      <c r="B23" s="46" t="s">
        <v>67</v>
      </c>
      <c r="P23" t="s">
        <v>2138</v>
      </c>
    </row>
    <row r="24" spans="1:16">
      <c r="A24" s="25"/>
      <c r="P24" t="s">
        <v>2139</v>
      </c>
    </row>
    <row r="25" spans="1:16">
      <c r="A25" s="25" t="s">
        <v>62</v>
      </c>
      <c r="B25" s="46" t="s">
        <v>40</v>
      </c>
      <c r="C25" s="46" t="s">
        <v>41</v>
      </c>
      <c r="D25" s="46" t="s">
        <v>51</v>
      </c>
    </row>
    <row r="26" spans="1:16">
      <c r="A26" s="25"/>
      <c r="B26" s="46" t="s">
        <v>30</v>
      </c>
      <c r="C26" s="46" t="s">
        <v>31</v>
      </c>
      <c r="D26" s="46"/>
    </row>
    <row r="27" spans="1:16">
      <c r="A27" s="25"/>
      <c r="B27" s="46" t="s">
        <v>51</v>
      </c>
      <c r="C27" s="46" t="s">
        <v>63</v>
      </c>
      <c r="D27" s="46" t="s">
        <v>64</v>
      </c>
    </row>
    <row r="28" spans="1:16">
      <c r="A28" s="25"/>
      <c r="B28" s="46" t="s">
        <v>58</v>
      </c>
      <c r="C28" s="46"/>
      <c r="D28" s="46"/>
    </row>
    <row r="29" spans="1:16">
      <c r="A29" s="25"/>
    </row>
    <row r="30" spans="1:16">
      <c r="A30" s="25" t="s">
        <v>65</v>
      </c>
      <c r="B30" s="46" t="s">
        <v>42</v>
      </c>
      <c r="C30" s="46" t="s">
        <v>43</v>
      </c>
    </row>
    <row r="31" spans="1:16">
      <c r="B31" s="46" t="s">
        <v>44</v>
      </c>
      <c r="C31" s="46"/>
    </row>
    <row r="32" spans="1:16">
      <c r="B32" s="46" t="s">
        <v>45</v>
      </c>
      <c r="C32" s="46"/>
    </row>
    <row r="34" spans="1:1">
      <c r="A34" t="s">
        <v>202</v>
      </c>
    </row>
  </sheetData>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E599-01E8-495A-8BB2-1972D35E5710}">
  <sheetPr codeName="Sheet9"/>
  <dimension ref="A1:D17"/>
  <sheetViews>
    <sheetView topLeftCell="A10" workbookViewId="0">
      <selection activeCell="I13" sqref="I13"/>
    </sheetView>
  </sheetViews>
  <sheetFormatPr defaultRowHeight="17.399999999999999"/>
  <cols>
    <col min="2" max="2" width="31.69921875" customWidth="1"/>
    <col min="3" max="3" width="2.3984375" bestFit="1" customWidth="1"/>
    <col min="4" max="4" width="8" bestFit="1" customWidth="1"/>
  </cols>
  <sheetData>
    <row r="1" spans="1:4">
      <c r="A1">
        <v>1</v>
      </c>
      <c r="B1" s="203" t="s">
        <v>2322</v>
      </c>
      <c r="C1" s="3" t="str" cm="1">
        <f t="array" aca="1" ref="C1" ca="1">CELL("filename")</f>
        <v>C:\Users\User\AppData\Local\Temp\BNZ.68d1e2501857e328\KIKcd_B.20210101.xlsx</v>
      </c>
    </row>
    <row r="2" spans="1:4">
      <c r="A2">
        <v>2</v>
      </c>
      <c r="B2" s="203" t="s">
        <v>2323</v>
      </c>
      <c r="C2" s="3" t="e" cm="1">
        <f t="array" aca="1" ref="C2" ca="1">MID(    CELL("filename"),      FIND("]",   CELL("filename"))+1,50)</f>
        <v>#VALUE!</v>
      </c>
    </row>
    <row r="3" spans="1:4">
      <c r="A3">
        <v>3</v>
      </c>
    </row>
    <row r="4" spans="1:4">
      <c r="A4">
        <v>4</v>
      </c>
    </row>
    <row r="5" spans="1:4">
      <c r="A5">
        <v>5</v>
      </c>
    </row>
    <row r="8" spans="1:4">
      <c r="B8" t="s">
        <v>2324</v>
      </c>
      <c r="C8" t="s">
        <v>2325</v>
      </c>
    </row>
    <row r="9" spans="1:4">
      <c r="A9" t="s">
        <v>2329</v>
      </c>
      <c r="B9" t="s">
        <v>2328</v>
      </c>
    </row>
    <row r="14" spans="1:4">
      <c r="C14" s="50" t="s">
        <v>2326</v>
      </c>
      <c r="D14" t="s">
        <v>2327</v>
      </c>
    </row>
    <row r="16" spans="1:4">
      <c r="B16" s="204" t="s">
        <v>2331</v>
      </c>
    </row>
    <row r="17" spans="2:2">
      <c r="B17" s="204" t="s">
        <v>2330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C3:AA1524"/>
  <sheetViews>
    <sheetView workbookViewId="0">
      <selection activeCell="D17" sqref="D17"/>
    </sheetView>
  </sheetViews>
  <sheetFormatPr defaultRowHeight="17.399999999999999"/>
  <cols>
    <col min="3" max="3" width="17.8984375" customWidth="1"/>
    <col min="4" max="4" width="22.69921875" customWidth="1"/>
    <col min="5" max="5" width="19.09765625" customWidth="1"/>
    <col min="8" max="8" width="16.3984375" customWidth="1"/>
    <col min="9" max="9" width="21" customWidth="1"/>
    <col min="27" max="27" width="25" customWidth="1"/>
  </cols>
  <sheetData>
    <row r="3" spans="3:27">
      <c r="D3" s="4">
        <v>44667</v>
      </c>
      <c r="E3" s="23">
        <f ca="1">NOW()</f>
        <v>45923.373001967593</v>
      </c>
    </row>
    <row r="4" spans="3:27">
      <c r="E4" s="4">
        <f ca="1">TODAY()</f>
        <v>45923</v>
      </c>
    </row>
    <row r="5" spans="3:27">
      <c r="C5" s="5" t="s">
        <v>20</v>
      </c>
      <c r="D5" s="4">
        <v>40471</v>
      </c>
    </row>
    <row r="6" spans="3:27">
      <c r="C6">
        <v>2</v>
      </c>
      <c r="D6" s="4">
        <f t="shared" ref="D6:D7" si="0">$D$5+(C6-1)</f>
        <v>40472</v>
      </c>
      <c r="AA6" t="str">
        <f t="shared" ref="AA6:AA17" si="1">REPLACE(H6,5,4,"XXXX")</f>
        <v>XXXX</v>
      </c>
    </row>
    <row r="7" spans="3:27">
      <c r="C7">
        <v>5</v>
      </c>
      <c r="D7" s="4">
        <f t="shared" si="0"/>
        <v>40475</v>
      </c>
      <c r="AA7" t="str">
        <f t="shared" si="1"/>
        <v>XXXX</v>
      </c>
    </row>
    <row r="8" spans="3:27">
      <c r="C8">
        <v>100</v>
      </c>
      <c r="D8" s="4">
        <f>$D$5+(C8-1)</f>
        <v>40570</v>
      </c>
      <c r="AA8" t="str">
        <f t="shared" si="1"/>
        <v>XXXX</v>
      </c>
    </row>
    <row r="9" spans="3:27">
      <c r="C9">
        <v>200</v>
      </c>
      <c r="D9" s="4">
        <f t="shared" ref="D9:D12" si="2">IF($D$5="","",$D$5+(C9-1))</f>
        <v>40670</v>
      </c>
      <c r="AA9" t="str">
        <f t="shared" si="1"/>
        <v>XXXX</v>
      </c>
    </row>
    <row r="10" spans="3:27">
      <c r="C10">
        <v>500</v>
      </c>
      <c r="D10" s="4">
        <f t="shared" si="2"/>
        <v>40970</v>
      </c>
      <c r="AA10" t="str">
        <f t="shared" si="1"/>
        <v>XXXX</v>
      </c>
    </row>
    <row r="11" spans="3:27">
      <c r="C11">
        <v>1000</v>
      </c>
      <c r="D11" s="4">
        <f t="shared" si="2"/>
        <v>41470</v>
      </c>
      <c r="AA11" t="str">
        <f t="shared" si="1"/>
        <v>XXXX</v>
      </c>
    </row>
    <row r="12" spans="3:27">
      <c r="C12">
        <v>5000</v>
      </c>
      <c r="D12" s="4">
        <f t="shared" si="2"/>
        <v>45470</v>
      </c>
      <c r="AA12" t="str">
        <f t="shared" si="1"/>
        <v>XXXX</v>
      </c>
    </row>
    <row r="13" spans="3:27">
      <c r="AA13" t="str">
        <f t="shared" si="1"/>
        <v>XXXX</v>
      </c>
    </row>
    <row r="14" spans="3:27">
      <c r="AA14" t="str">
        <f t="shared" si="1"/>
        <v>XXXX</v>
      </c>
    </row>
    <row r="15" spans="3:27">
      <c r="AA15" t="str">
        <f t="shared" si="1"/>
        <v>XXXX</v>
      </c>
    </row>
    <row r="16" spans="3:27">
      <c r="AA16" t="str">
        <f t="shared" si="1"/>
        <v>XXXX</v>
      </c>
    </row>
    <row r="17" spans="27:27">
      <c r="AA17" t="str">
        <f t="shared" si="1"/>
        <v>XXXX</v>
      </c>
    </row>
    <row r="309" spans="8:8">
      <c r="H309" t="s">
        <v>260</v>
      </c>
    </row>
    <row r="310" spans="8:8">
      <c r="H310" t="s">
        <v>261</v>
      </c>
    </row>
    <row r="311" spans="8:8">
      <c r="H311" t="s">
        <v>262</v>
      </c>
    </row>
    <row r="312" spans="8:8">
      <c r="H312" t="s">
        <v>263</v>
      </c>
    </row>
    <row r="313" spans="8:8">
      <c r="H313" t="s">
        <v>264</v>
      </c>
    </row>
    <row r="314" spans="8:8">
      <c r="H314" t="s">
        <v>265</v>
      </c>
    </row>
    <row r="315" spans="8:8">
      <c r="H315" t="s">
        <v>266</v>
      </c>
    </row>
    <row r="316" spans="8:8">
      <c r="H316" t="s">
        <v>267</v>
      </c>
    </row>
    <row r="317" spans="8:8">
      <c r="H317" t="s">
        <v>268</v>
      </c>
    </row>
    <row r="318" spans="8:8">
      <c r="H318" t="s">
        <v>269</v>
      </c>
    </row>
    <row r="319" spans="8:8">
      <c r="H319" t="s">
        <v>270</v>
      </c>
    </row>
    <row r="320" spans="8:8">
      <c r="H320" t="s">
        <v>271</v>
      </c>
    </row>
    <row r="321" spans="8:8">
      <c r="H321" t="s">
        <v>272</v>
      </c>
    </row>
    <row r="322" spans="8:8">
      <c r="H322" t="s">
        <v>273</v>
      </c>
    </row>
    <row r="323" spans="8:8">
      <c r="H323" t="s">
        <v>274</v>
      </c>
    </row>
    <row r="324" spans="8:8">
      <c r="H324" t="s">
        <v>275</v>
      </c>
    </row>
    <row r="325" spans="8:8">
      <c r="H325" t="s">
        <v>276</v>
      </c>
    </row>
    <row r="326" spans="8:8">
      <c r="H326" t="s">
        <v>277</v>
      </c>
    </row>
    <row r="327" spans="8:8">
      <c r="H327" t="s">
        <v>278</v>
      </c>
    </row>
    <row r="328" spans="8:8">
      <c r="H328" t="s">
        <v>279</v>
      </c>
    </row>
    <row r="329" spans="8:8">
      <c r="H329" t="s">
        <v>280</v>
      </c>
    </row>
    <row r="330" spans="8:8">
      <c r="H330" t="s">
        <v>281</v>
      </c>
    </row>
    <row r="331" spans="8:8">
      <c r="H331" t="s">
        <v>282</v>
      </c>
    </row>
    <row r="332" spans="8:8">
      <c r="H332" t="s">
        <v>283</v>
      </c>
    </row>
    <row r="333" spans="8:8">
      <c r="H333" t="s">
        <v>284</v>
      </c>
    </row>
    <row r="334" spans="8:8">
      <c r="H334" t="s">
        <v>285</v>
      </c>
    </row>
    <row r="335" spans="8:8">
      <c r="H335" t="s">
        <v>286</v>
      </c>
    </row>
    <row r="336" spans="8:8">
      <c r="H336" t="s">
        <v>287</v>
      </c>
    </row>
    <row r="337" spans="8:8">
      <c r="H337" t="s">
        <v>288</v>
      </c>
    </row>
    <row r="338" spans="8:8">
      <c r="H338" t="s">
        <v>289</v>
      </c>
    </row>
    <row r="339" spans="8:8">
      <c r="H339" t="s">
        <v>290</v>
      </c>
    </row>
    <row r="340" spans="8:8">
      <c r="H340" t="s">
        <v>291</v>
      </c>
    </row>
    <row r="341" spans="8:8">
      <c r="H341" t="s">
        <v>292</v>
      </c>
    </row>
    <row r="342" spans="8:8">
      <c r="H342" t="s">
        <v>293</v>
      </c>
    </row>
    <row r="343" spans="8:8">
      <c r="H343" t="s">
        <v>294</v>
      </c>
    </row>
    <row r="344" spans="8:8">
      <c r="H344" t="s">
        <v>295</v>
      </c>
    </row>
    <row r="345" spans="8:8">
      <c r="H345" t="s">
        <v>296</v>
      </c>
    </row>
    <row r="346" spans="8:8">
      <c r="H346" t="s">
        <v>297</v>
      </c>
    </row>
    <row r="347" spans="8:8">
      <c r="H347" t="s">
        <v>298</v>
      </c>
    </row>
    <row r="348" spans="8:8">
      <c r="H348" t="s">
        <v>299</v>
      </c>
    </row>
    <row r="349" spans="8:8">
      <c r="H349" t="s">
        <v>300</v>
      </c>
    </row>
    <row r="350" spans="8:8">
      <c r="H350" t="s">
        <v>301</v>
      </c>
    </row>
    <row r="351" spans="8:8">
      <c r="H351" t="s">
        <v>302</v>
      </c>
    </row>
    <row r="352" spans="8:8">
      <c r="H352" t="s">
        <v>303</v>
      </c>
    </row>
    <row r="353" spans="8:8">
      <c r="H353" t="s">
        <v>304</v>
      </c>
    </row>
    <row r="354" spans="8:8">
      <c r="H354" t="s">
        <v>305</v>
      </c>
    </row>
    <row r="355" spans="8:8">
      <c r="H355" t="s">
        <v>306</v>
      </c>
    </row>
    <row r="356" spans="8:8">
      <c r="H356" t="s">
        <v>307</v>
      </c>
    </row>
    <row r="357" spans="8:8">
      <c r="H357" t="s">
        <v>308</v>
      </c>
    </row>
    <row r="358" spans="8:8">
      <c r="H358" t="s">
        <v>309</v>
      </c>
    </row>
    <row r="359" spans="8:8">
      <c r="H359" t="s">
        <v>310</v>
      </c>
    </row>
    <row r="360" spans="8:8">
      <c r="H360" t="s">
        <v>311</v>
      </c>
    </row>
    <row r="361" spans="8:8">
      <c r="H361" t="s">
        <v>312</v>
      </c>
    </row>
    <row r="362" spans="8:8">
      <c r="H362" t="s">
        <v>313</v>
      </c>
    </row>
    <row r="363" spans="8:8">
      <c r="H363" t="s">
        <v>314</v>
      </c>
    </row>
    <row r="364" spans="8:8">
      <c r="H364" t="s">
        <v>315</v>
      </c>
    </row>
    <row r="365" spans="8:8">
      <c r="H365" t="s">
        <v>316</v>
      </c>
    </row>
    <row r="366" spans="8:8">
      <c r="H366" t="s">
        <v>317</v>
      </c>
    </row>
    <row r="367" spans="8:8">
      <c r="H367" t="s">
        <v>318</v>
      </c>
    </row>
    <row r="368" spans="8:8">
      <c r="H368" t="s">
        <v>319</v>
      </c>
    </row>
    <row r="369" spans="8:8">
      <c r="H369" t="s">
        <v>320</v>
      </c>
    </row>
    <row r="370" spans="8:8">
      <c r="H370" t="s">
        <v>321</v>
      </c>
    </row>
    <row r="371" spans="8:8">
      <c r="H371" t="s">
        <v>322</v>
      </c>
    </row>
    <row r="372" spans="8:8">
      <c r="H372" t="s">
        <v>323</v>
      </c>
    </row>
    <row r="373" spans="8:8">
      <c r="H373" t="s">
        <v>324</v>
      </c>
    </row>
    <row r="374" spans="8:8">
      <c r="H374" t="s">
        <v>325</v>
      </c>
    </row>
    <row r="375" spans="8:8">
      <c r="H375" t="s">
        <v>326</v>
      </c>
    </row>
    <row r="376" spans="8:8">
      <c r="H376" t="s">
        <v>327</v>
      </c>
    </row>
    <row r="377" spans="8:8">
      <c r="H377" t="s">
        <v>328</v>
      </c>
    </row>
    <row r="378" spans="8:8">
      <c r="H378" t="s">
        <v>329</v>
      </c>
    </row>
    <row r="379" spans="8:8">
      <c r="H379" t="s">
        <v>330</v>
      </c>
    </row>
    <row r="380" spans="8:8">
      <c r="H380" t="s">
        <v>331</v>
      </c>
    </row>
    <row r="381" spans="8:8">
      <c r="H381" t="s">
        <v>332</v>
      </c>
    </row>
    <row r="382" spans="8:8">
      <c r="H382" t="s">
        <v>333</v>
      </c>
    </row>
    <row r="383" spans="8:8">
      <c r="H383" t="s">
        <v>334</v>
      </c>
    </row>
    <row r="384" spans="8:8">
      <c r="H384" t="s">
        <v>335</v>
      </c>
    </row>
    <row r="385" spans="8:8">
      <c r="H385" t="s">
        <v>336</v>
      </c>
    </row>
    <row r="386" spans="8:8">
      <c r="H386" t="s">
        <v>337</v>
      </c>
    </row>
    <row r="387" spans="8:8">
      <c r="H387" t="s">
        <v>338</v>
      </c>
    </row>
    <row r="388" spans="8:8">
      <c r="H388" t="s">
        <v>339</v>
      </c>
    </row>
    <row r="389" spans="8:8">
      <c r="H389" t="s">
        <v>340</v>
      </c>
    </row>
    <row r="390" spans="8:8">
      <c r="H390" t="s">
        <v>341</v>
      </c>
    </row>
    <row r="391" spans="8:8">
      <c r="H391" t="s">
        <v>342</v>
      </c>
    </row>
    <row r="392" spans="8:8">
      <c r="H392" t="s">
        <v>343</v>
      </c>
    </row>
    <row r="393" spans="8:8">
      <c r="H393" t="s">
        <v>344</v>
      </c>
    </row>
    <row r="394" spans="8:8">
      <c r="H394" t="s">
        <v>345</v>
      </c>
    </row>
    <row r="395" spans="8:8">
      <c r="H395" t="s">
        <v>346</v>
      </c>
    </row>
    <row r="396" spans="8:8">
      <c r="H396" t="s">
        <v>347</v>
      </c>
    </row>
    <row r="397" spans="8:8">
      <c r="H397" t="s">
        <v>348</v>
      </c>
    </row>
    <row r="398" spans="8:8">
      <c r="H398" t="s">
        <v>349</v>
      </c>
    </row>
    <row r="399" spans="8:8">
      <c r="H399" t="s">
        <v>350</v>
      </c>
    </row>
    <row r="400" spans="8:8">
      <c r="H400" t="s">
        <v>351</v>
      </c>
    </row>
    <row r="401" spans="8:8">
      <c r="H401" t="s">
        <v>352</v>
      </c>
    </row>
    <row r="402" spans="8:8">
      <c r="H402" t="s">
        <v>353</v>
      </c>
    </row>
    <row r="403" spans="8:8">
      <c r="H403" t="s">
        <v>354</v>
      </c>
    </row>
    <row r="404" spans="8:8">
      <c r="H404" t="s">
        <v>355</v>
      </c>
    </row>
    <row r="405" spans="8:8">
      <c r="H405" t="s">
        <v>356</v>
      </c>
    </row>
    <row r="406" spans="8:8">
      <c r="H406" t="s">
        <v>357</v>
      </c>
    </row>
    <row r="407" spans="8:8">
      <c r="H407" t="s">
        <v>358</v>
      </c>
    </row>
    <row r="408" spans="8:8">
      <c r="H408" t="s">
        <v>359</v>
      </c>
    </row>
    <row r="409" spans="8:8">
      <c r="H409" t="s">
        <v>360</v>
      </c>
    </row>
    <row r="410" spans="8:8">
      <c r="H410" t="s">
        <v>361</v>
      </c>
    </row>
    <row r="411" spans="8:8">
      <c r="H411" t="s">
        <v>362</v>
      </c>
    </row>
    <row r="412" spans="8:8">
      <c r="H412" t="s">
        <v>363</v>
      </c>
    </row>
    <row r="413" spans="8:8">
      <c r="H413" t="s">
        <v>364</v>
      </c>
    </row>
    <row r="414" spans="8:8">
      <c r="H414" t="s">
        <v>365</v>
      </c>
    </row>
    <row r="415" spans="8:8">
      <c r="H415" t="s">
        <v>366</v>
      </c>
    </row>
    <row r="416" spans="8:8">
      <c r="H416" t="s">
        <v>367</v>
      </c>
    </row>
    <row r="417" spans="8:8">
      <c r="H417" t="s">
        <v>368</v>
      </c>
    </row>
    <row r="418" spans="8:8">
      <c r="H418" t="s">
        <v>369</v>
      </c>
    </row>
    <row r="419" spans="8:8">
      <c r="H419" t="s">
        <v>370</v>
      </c>
    </row>
    <row r="420" spans="8:8">
      <c r="H420" t="s">
        <v>371</v>
      </c>
    </row>
    <row r="421" spans="8:8">
      <c r="H421" t="s">
        <v>372</v>
      </c>
    </row>
    <row r="422" spans="8:8">
      <c r="H422" t="s">
        <v>373</v>
      </c>
    </row>
    <row r="423" spans="8:8">
      <c r="H423" t="s">
        <v>374</v>
      </c>
    </row>
    <row r="424" spans="8:8">
      <c r="H424" t="s">
        <v>375</v>
      </c>
    </row>
    <row r="425" spans="8:8">
      <c r="H425" t="s">
        <v>376</v>
      </c>
    </row>
    <row r="426" spans="8:8">
      <c r="H426" t="s">
        <v>377</v>
      </c>
    </row>
    <row r="427" spans="8:8">
      <c r="H427" t="s">
        <v>378</v>
      </c>
    </row>
    <row r="428" spans="8:8">
      <c r="H428" t="s">
        <v>379</v>
      </c>
    </row>
    <row r="429" spans="8:8">
      <c r="H429" t="s">
        <v>380</v>
      </c>
    </row>
    <row r="430" spans="8:8">
      <c r="H430" t="s">
        <v>381</v>
      </c>
    </row>
    <row r="431" spans="8:8">
      <c r="H431" t="s">
        <v>382</v>
      </c>
    </row>
    <row r="432" spans="8:8">
      <c r="H432" t="s">
        <v>383</v>
      </c>
    </row>
    <row r="433" spans="8:8">
      <c r="H433" t="s">
        <v>384</v>
      </c>
    </row>
    <row r="434" spans="8:8">
      <c r="H434" t="s">
        <v>385</v>
      </c>
    </row>
    <row r="435" spans="8:8">
      <c r="H435" t="s">
        <v>386</v>
      </c>
    </row>
    <row r="436" spans="8:8">
      <c r="H436" t="s">
        <v>387</v>
      </c>
    </row>
    <row r="437" spans="8:8">
      <c r="H437" t="s">
        <v>388</v>
      </c>
    </row>
    <row r="438" spans="8:8">
      <c r="H438" t="s">
        <v>389</v>
      </c>
    </row>
    <row r="439" spans="8:8">
      <c r="H439" t="s">
        <v>390</v>
      </c>
    </row>
    <row r="440" spans="8:8">
      <c r="H440" t="s">
        <v>391</v>
      </c>
    </row>
    <row r="441" spans="8:8">
      <c r="H441" t="s">
        <v>392</v>
      </c>
    </row>
    <row r="442" spans="8:8">
      <c r="H442" t="s">
        <v>393</v>
      </c>
    </row>
    <row r="443" spans="8:8">
      <c r="H443" t="s">
        <v>394</v>
      </c>
    </row>
    <row r="444" spans="8:8">
      <c r="H444" t="s">
        <v>395</v>
      </c>
    </row>
    <row r="445" spans="8:8">
      <c r="H445" t="s">
        <v>396</v>
      </c>
    </row>
    <row r="446" spans="8:8">
      <c r="H446" t="s">
        <v>397</v>
      </c>
    </row>
    <row r="447" spans="8:8">
      <c r="H447" t="s">
        <v>398</v>
      </c>
    </row>
    <row r="448" spans="8:8">
      <c r="H448" t="s">
        <v>399</v>
      </c>
    </row>
    <row r="449" spans="8:8">
      <c r="H449" t="s">
        <v>400</v>
      </c>
    </row>
    <row r="450" spans="8:8">
      <c r="H450" t="s">
        <v>401</v>
      </c>
    </row>
    <row r="451" spans="8:8">
      <c r="H451" t="s">
        <v>402</v>
      </c>
    </row>
    <row r="452" spans="8:8">
      <c r="H452" t="s">
        <v>403</v>
      </c>
    </row>
    <row r="453" spans="8:8">
      <c r="H453" t="s">
        <v>404</v>
      </c>
    </row>
    <row r="454" spans="8:8">
      <c r="H454" t="s">
        <v>405</v>
      </c>
    </row>
    <row r="455" spans="8:8">
      <c r="H455" t="s">
        <v>406</v>
      </c>
    </row>
    <row r="456" spans="8:8">
      <c r="H456" t="s">
        <v>407</v>
      </c>
    </row>
    <row r="457" spans="8:8">
      <c r="H457" t="s">
        <v>408</v>
      </c>
    </row>
    <row r="458" spans="8:8">
      <c r="H458" t="s">
        <v>409</v>
      </c>
    </row>
    <row r="459" spans="8:8">
      <c r="H459" t="s">
        <v>410</v>
      </c>
    </row>
    <row r="460" spans="8:8">
      <c r="H460" t="s">
        <v>411</v>
      </c>
    </row>
    <row r="461" spans="8:8">
      <c r="H461" t="s">
        <v>412</v>
      </c>
    </row>
    <row r="462" spans="8:8">
      <c r="H462" t="s">
        <v>413</v>
      </c>
    </row>
    <row r="463" spans="8:8">
      <c r="H463" t="s">
        <v>414</v>
      </c>
    </row>
    <row r="464" spans="8:8">
      <c r="H464" t="s">
        <v>415</v>
      </c>
    </row>
    <row r="465" spans="8:8">
      <c r="H465" t="s">
        <v>416</v>
      </c>
    </row>
    <row r="466" spans="8:8">
      <c r="H466" t="s">
        <v>417</v>
      </c>
    </row>
    <row r="467" spans="8:8">
      <c r="H467" t="s">
        <v>418</v>
      </c>
    </row>
    <row r="468" spans="8:8">
      <c r="H468" t="s">
        <v>419</v>
      </c>
    </row>
    <row r="469" spans="8:8">
      <c r="H469" t="s">
        <v>420</v>
      </c>
    </row>
    <row r="470" spans="8:8">
      <c r="H470" t="s">
        <v>421</v>
      </c>
    </row>
    <row r="471" spans="8:8">
      <c r="H471" t="s">
        <v>422</v>
      </c>
    </row>
    <row r="472" spans="8:8">
      <c r="H472" t="s">
        <v>423</v>
      </c>
    </row>
    <row r="473" spans="8:8">
      <c r="H473" t="s">
        <v>424</v>
      </c>
    </row>
    <row r="474" spans="8:8">
      <c r="H474" t="s">
        <v>425</v>
      </c>
    </row>
    <row r="475" spans="8:8">
      <c r="H475" t="s">
        <v>426</v>
      </c>
    </row>
    <row r="476" spans="8:8">
      <c r="H476" t="s">
        <v>427</v>
      </c>
    </row>
    <row r="477" spans="8:8">
      <c r="H477" t="s">
        <v>428</v>
      </c>
    </row>
    <row r="478" spans="8:8">
      <c r="H478" t="s">
        <v>429</v>
      </c>
    </row>
    <row r="479" spans="8:8">
      <c r="H479" t="s">
        <v>430</v>
      </c>
    </row>
    <row r="480" spans="8:8">
      <c r="H480" t="s">
        <v>431</v>
      </c>
    </row>
    <row r="481" spans="8:8">
      <c r="H481" t="s">
        <v>432</v>
      </c>
    </row>
    <row r="482" spans="8:8">
      <c r="H482" t="s">
        <v>433</v>
      </c>
    </row>
    <row r="483" spans="8:8">
      <c r="H483" t="s">
        <v>434</v>
      </c>
    </row>
    <row r="484" spans="8:8">
      <c r="H484" t="s">
        <v>435</v>
      </c>
    </row>
    <row r="485" spans="8:8">
      <c r="H485" t="s">
        <v>436</v>
      </c>
    </row>
    <row r="486" spans="8:8">
      <c r="H486" t="s">
        <v>437</v>
      </c>
    </row>
    <row r="487" spans="8:8">
      <c r="H487" t="s">
        <v>438</v>
      </c>
    </row>
    <row r="488" spans="8:8">
      <c r="H488" t="s">
        <v>439</v>
      </c>
    </row>
    <row r="489" spans="8:8">
      <c r="H489" t="s">
        <v>440</v>
      </c>
    </row>
    <row r="490" spans="8:8">
      <c r="H490" t="s">
        <v>441</v>
      </c>
    </row>
    <row r="491" spans="8:8">
      <c r="H491" t="s">
        <v>442</v>
      </c>
    </row>
    <row r="492" spans="8:8">
      <c r="H492" t="s">
        <v>443</v>
      </c>
    </row>
    <row r="493" spans="8:8">
      <c r="H493" t="s">
        <v>444</v>
      </c>
    </row>
    <row r="494" spans="8:8">
      <c r="H494" t="s">
        <v>445</v>
      </c>
    </row>
    <row r="495" spans="8:8">
      <c r="H495" t="s">
        <v>446</v>
      </c>
    </row>
    <row r="496" spans="8:8">
      <c r="H496" t="s">
        <v>447</v>
      </c>
    </row>
    <row r="497" spans="8:8">
      <c r="H497" t="s">
        <v>448</v>
      </c>
    </row>
    <row r="498" spans="8:8">
      <c r="H498" t="s">
        <v>449</v>
      </c>
    </row>
    <row r="499" spans="8:8">
      <c r="H499" t="s">
        <v>450</v>
      </c>
    </row>
    <row r="500" spans="8:8">
      <c r="H500" t="s">
        <v>451</v>
      </c>
    </row>
    <row r="501" spans="8:8">
      <c r="H501" t="s">
        <v>452</v>
      </c>
    </row>
    <row r="502" spans="8:8">
      <c r="H502" t="s">
        <v>453</v>
      </c>
    </row>
    <row r="503" spans="8:8">
      <c r="H503" t="s">
        <v>454</v>
      </c>
    </row>
    <row r="504" spans="8:8">
      <c r="H504" t="s">
        <v>455</v>
      </c>
    </row>
    <row r="505" spans="8:8">
      <c r="H505" t="s">
        <v>456</v>
      </c>
    </row>
    <row r="506" spans="8:8">
      <c r="H506" t="s">
        <v>457</v>
      </c>
    </row>
    <row r="507" spans="8:8">
      <c r="H507" t="s">
        <v>458</v>
      </c>
    </row>
    <row r="508" spans="8:8">
      <c r="H508" t="s">
        <v>459</v>
      </c>
    </row>
    <row r="509" spans="8:8">
      <c r="H509" t="s">
        <v>460</v>
      </c>
    </row>
    <row r="510" spans="8:8">
      <c r="H510" t="s">
        <v>461</v>
      </c>
    </row>
    <row r="511" spans="8:8">
      <c r="H511" t="s">
        <v>462</v>
      </c>
    </row>
    <row r="512" spans="8:8">
      <c r="H512" t="s">
        <v>463</v>
      </c>
    </row>
    <row r="513" spans="8:8">
      <c r="H513" t="s">
        <v>464</v>
      </c>
    </row>
    <row r="514" spans="8:8">
      <c r="H514" t="s">
        <v>465</v>
      </c>
    </row>
    <row r="515" spans="8:8">
      <c r="H515" t="s">
        <v>466</v>
      </c>
    </row>
    <row r="516" spans="8:8">
      <c r="H516" t="s">
        <v>467</v>
      </c>
    </row>
    <row r="517" spans="8:8">
      <c r="H517" t="s">
        <v>468</v>
      </c>
    </row>
    <row r="518" spans="8:8">
      <c r="H518" t="s">
        <v>469</v>
      </c>
    </row>
    <row r="519" spans="8:8">
      <c r="H519" t="s">
        <v>470</v>
      </c>
    </row>
    <row r="520" spans="8:8">
      <c r="H520" t="s">
        <v>471</v>
      </c>
    </row>
    <row r="521" spans="8:8">
      <c r="H521" t="s">
        <v>472</v>
      </c>
    </row>
    <row r="522" spans="8:8">
      <c r="H522" t="s">
        <v>473</v>
      </c>
    </row>
    <row r="523" spans="8:8">
      <c r="H523" t="s">
        <v>474</v>
      </c>
    </row>
    <row r="524" spans="8:8">
      <c r="H524" t="s">
        <v>475</v>
      </c>
    </row>
    <row r="525" spans="8:8">
      <c r="H525" t="s">
        <v>476</v>
      </c>
    </row>
    <row r="526" spans="8:8">
      <c r="H526" t="s">
        <v>477</v>
      </c>
    </row>
    <row r="527" spans="8:8">
      <c r="H527" t="s">
        <v>478</v>
      </c>
    </row>
    <row r="528" spans="8:8">
      <c r="H528" t="s">
        <v>479</v>
      </c>
    </row>
    <row r="529" spans="8:8">
      <c r="H529" t="s">
        <v>480</v>
      </c>
    </row>
    <row r="530" spans="8:8">
      <c r="H530" t="s">
        <v>481</v>
      </c>
    </row>
    <row r="531" spans="8:8">
      <c r="H531" t="s">
        <v>482</v>
      </c>
    </row>
    <row r="532" spans="8:8">
      <c r="H532" t="s">
        <v>483</v>
      </c>
    </row>
    <row r="533" spans="8:8">
      <c r="H533" t="s">
        <v>484</v>
      </c>
    </row>
    <row r="534" spans="8:8">
      <c r="H534" t="s">
        <v>485</v>
      </c>
    </row>
    <row r="535" spans="8:8">
      <c r="H535" t="s">
        <v>486</v>
      </c>
    </row>
    <row r="536" spans="8:8">
      <c r="H536" t="s">
        <v>487</v>
      </c>
    </row>
    <row r="537" spans="8:8">
      <c r="H537" t="s">
        <v>488</v>
      </c>
    </row>
    <row r="538" spans="8:8">
      <c r="H538" t="s">
        <v>489</v>
      </c>
    </row>
    <row r="539" spans="8:8">
      <c r="H539" t="s">
        <v>490</v>
      </c>
    </row>
    <row r="540" spans="8:8">
      <c r="H540" t="s">
        <v>491</v>
      </c>
    </row>
    <row r="541" spans="8:8">
      <c r="H541" t="s">
        <v>492</v>
      </c>
    </row>
    <row r="542" spans="8:8">
      <c r="H542" t="s">
        <v>493</v>
      </c>
    </row>
    <row r="543" spans="8:8">
      <c r="H543" t="s">
        <v>494</v>
      </c>
    </row>
    <row r="544" spans="8:8">
      <c r="H544" t="s">
        <v>495</v>
      </c>
    </row>
    <row r="545" spans="8:8">
      <c r="H545" t="s">
        <v>496</v>
      </c>
    </row>
    <row r="546" spans="8:8">
      <c r="H546" t="s">
        <v>497</v>
      </c>
    </row>
    <row r="547" spans="8:8">
      <c r="H547" t="s">
        <v>498</v>
      </c>
    </row>
    <row r="548" spans="8:8">
      <c r="H548" t="s">
        <v>499</v>
      </c>
    </row>
    <row r="549" spans="8:8">
      <c r="H549" t="s">
        <v>500</v>
      </c>
    </row>
    <row r="550" spans="8:8">
      <c r="H550" t="s">
        <v>501</v>
      </c>
    </row>
    <row r="551" spans="8:8">
      <c r="H551" t="s">
        <v>502</v>
      </c>
    </row>
    <row r="552" spans="8:8">
      <c r="H552" t="s">
        <v>503</v>
      </c>
    </row>
    <row r="553" spans="8:8">
      <c r="H553" t="s">
        <v>504</v>
      </c>
    </row>
    <row r="554" spans="8:8">
      <c r="H554" t="s">
        <v>505</v>
      </c>
    </row>
    <row r="555" spans="8:8">
      <c r="H555" t="s">
        <v>506</v>
      </c>
    </row>
    <row r="556" spans="8:8">
      <c r="H556" t="s">
        <v>507</v>
      </c>
    </row>
    <row r="557" spans="8:8">
      <c r="H557" t="s">
        <v>508</v>
      </c>
    </row>
    <row r="558" spans="8:8">
      <c r="H558" t="s">
        <v>509</v>
      </c>
    </row>
    <row r="559" spans="8:8">
      <c r="H559" t="s">
        <v>510</v>
      </c>
    </row>
    <row r="560" spans="8:8">
      <c r="H560" t="s">
        <v>511</v>
      </c>
    </row>
    <row r="561" spans="8:8">
      <c r="H561" t="s">
        <v>512</v>
      </c>
    </row>
    <row r="562" spans="8:8">
      <c r="H562" t="s">
        <v>513</v>
      </c>
    </row>
    <row r="563" spans="8:8">
      <c r="H563" t="s">
        <v>514</v>
      </c>
    </row>
    <row r="564" spans="8:8">
      <c r="H564" t="s">
        <v>515</v>
      </c>
    </row>
    <row r="565" spans="8:8">
      <c r="H565" t="s">
        <v>516</v>
      </c>
    </row>
    <row r="566" spans="8:8">
      <c r="H566" t="s">
        <v>517</v>
      </c>
    </row>
    <row r="567" spans="8:8">
      <c r="H567" t="s">
        <v>518</v>
      </c>
    </row>
    <row r="568" spans="8:8">
      <c r="H568" t="s">
        <v>519</v>
      </c>
    </row>
    <row r="569" spans="8:8">
      <c r="H569" t="s">
        <v>520</v>
      </c>
    </row>
    <row r="570" spans="8:8">
      <c r="H570" t="s">
        <v>521</v>
      </c>
    </row>
    <row r="571" spans="8:8">
      <c r="H571" t="s">
        <v>522</v>
      </c>
    </row>
    <row r="572" spans="8:8">
      <c r="H572" t="s">
        <v>523</v>
      </c>
    </row>
    <row r="573" spans="8:8">
      <c r="H573" t="s">
        <v>524</v>
      </c>
    </row>
    <row r="574" spans="8:8">
      <c r="H574" t="s">
        <v>525</v>
      </c>
    </row>
    <row r="575" spans="8:8">
      <c r="H575" t="s">
        <v>526</v>
      </c>
    </row>
    <row r="576" spans="8:8">
      <c r="H576" t="s">
        <v>527</v>
      </c>
    </row>
    <row r="577" spans="8:8">
      <c r="H577" t="s">
        <v>528</v>
      </c>
    </row>
    <row r="578" spans="8:8">
      <c r="H578" t="s">
        <v>529</v>
      </c>
    </row>
    <row r="579" spans="8:8">
      <c r="H579" t="s">
        <v>530</v>
      </c>
    </row>
    <row r="580" spans="8:8">
      <c r="H580" t="s">
        <v>531</v>
      </c>
    </row>
    <row r="581" spans="8:8">
      <c r="H581" t="s">
        <v>532</v>
      </c>
    </row>
    <row r="582" spans="8:8">
      <c r="H582" t="s">
        <v>533</v>
      </c>
    </row>
    <row r="583" spans="8:8">
      <c r="H583" t="s">
        <v>534</v>
      </c>
    </row>
    <row r="584" spans="8:8">
      <c r="H584" t="s">
        <v>535</v>
      </c>
    </row>
    <row r="585" spans="8:8">
      <c r="H585" t="s">
        <v>536</v>
      </c>
    </row>
    <row r="586" spans="8:8">
      <c r="H586" t="s">
        <v>537</v>
      </c>
    </row>
    <row r="587" spans="8:8">
      <c r="H587" t="s">
        <v>538</v>
      </c>
    </row>
    <row r="588" spans="8:8">
      <c r="H588" t="s">
        <v>539</v>
      </c>
    </row>
    <row r="589" spans="8:8">
      <c r="H589" t="s">
        <v>540</v>
      </c>
    </row>
    <row r="590" spans="8:8">
      <c r="H590" t="s">
        <v>541</v>
      </c>
    </row>
    <row r="591" spans="8:8">
      <c r="H591" t="s">
        <v>542</v>
      </c>
    </row>
    <row r="592" spans="8:8">
      <c r="H592" t="s">
        <v>543</v>
      </c>
    </row>
    <row r="593" spans="8:8">
      <c r="H593" t="s">
        <v>544</v>
      </c>
    </row>
    <row r="594" spans="8:8">
      <c r="H594" t="s">
        <v>545</v>
      </c>
    </row>
    <row r="595" spans="8:8">
      <c r="H595" t="s">
        <v>546</v>
      </c>
    </row>
    <row r="596" spans="8:8">
      <c r="H596" t="s">
        <v>547</v>
      </c>
    </row>
    <row r="597" spans="8:8">
      <c r="H597" t="s">
        <v>548</v>
      </c>
    </row>
    <row r="598" spans="8:8">
      <c r="H598" t="s">
        <v>549</v>
      </c>
    </row>
    <row r="599" spans="8:8">
      <c r="H599" t="s">
        <v>550</v>
      </c>
    </row>
    <row r="600" spans="8:8">
      <c r="H600" t="s">
        <v>551</v>
      </c>
    </row>
    <row r="601" spans="8:8">
      <c r="H601" t="s">
        <v>552</v>
      </c>
    </row>
    <row r="602" spans="8:8">
      <c r="H602" t="s">
        <v>553</v>
      </c>
    </row>
    <row r="603" spans="8:8">
      <c r="H603" t="s">
        <v>554</v>
      </c>
    </row>
    <row r="604" spans="8:8">
      <c r="H604" t="s">
        <v>555</v>
      </c>
    </row>
    <row r="605" spans="8:8">
      <c r="H605" t="s">
        <v>556</v>
      </c>
    </row>
    <row r="606" spans="8:8">
      <c r="H606" t="s">
        <v>557</v>
      </c>
    </row>
    <row r="607" spans="8:8">
      <c r="H607" t="s">
        <v>558</v>
      </c>
    </row>
    <row r="608" spans="8:8">
      <c r="H608" t="s">
        <v>559</v>
      </c>
    </row>
    <row r="609" spans="8:8">
      <c r="H609" t="s">
        <v>560</v>
      </c>
    </row>
    <row r="610" spans="8:8">
      <c r="H610" t="s">
        <v>561</v>
      </c>
    </row>
    <row r="611" spans="8:8">
      <c r="H611" t="s">
        <v>562</v>
      </c>
    </row>
    <row r="612" spans="8:8">
      <c r="H612" t="s">
        <v>563</v>
      </c>
    </row>
    <row r="613" spans="8:8">
      <c r="H613" t="s">
        <v>564</v>
      </c>
    </row>
    <row r="614" spans="8:8">
      <c r="H614" t="s">
        <v>565</v>
      </c>
    </row>
    <row r="615" spans="8:8">
      <c r="H615" t="s">
        <v>566</v>
      </c>
    </row>
    <row r="616" spans="8:8">
      <c r="H616" t="s">
        <v>567</v>
      </c>
    </row>
    <row r="617" spans="8:8">
      <c r="H617" t="s">
        <v>568</v>
      </c>
    </row>
    <row r="618" spans="8:8">
      <c r="H618" t="s">
        <v>569</v>
      </c>
    </row>
    <row r="619" spans="8:8">
      <c r="H619" t="s">
        <v>570</v>
      </c>
    </row>
    <row r="620" spans="8:8">
      <c r="H620" t="s">
        <v>571</v>
      </c>
    </row>
    <row r="621" spans="8:8">
      <c r="H621" t="s">
        <v>572</v>
      </c>
    </row>
    <row r="622" spans="8:8">
      <c r="H622" t="s">
        <v>573</v>
      </c>
    </row>
    <row r="623" spans="8:8">
      <c r="H623" t="s">
        <v>574</v>
      </c>
    </row>
    <row r="624" spans="8:8">
      <c r="H624" t="s">
        <v>575</v>
      </c>
    </row>
    <row r="625" spans="8:8">
      <c r="H625" t="s">
        <v>576</v>
      </c>
    </row>
    <row r="626" spans="8:8">
      <c r="H626" t="s">
        <v>577</v>
      </c>
    </row>
    <row r="627" spans="8:8">
      <c r="H627" t="s">
        <v>578</v>
      </c>
    </row>
    <row r="628" spans="8:8">
      <c r="H628" t="s">
        <v>579</v>
      </c>
    </row>
    <row r="629" spans="8:8">
      <c r="H629" t="s">
        <v>580</v>
      </c>
    </row>
    <row r="630" spans="8:8">
      <c r="H630" t="s">
        <v>581</v>
      </c>
    </row>
    <row r="631" spans="8:8">
      <c r="H631" t="s">
        <v>582</v>
      </c>
    </row>
    <row r="632" spans="8:8">
      <c r="H632" t="s">
        <v>583</v>
      </c>
    </row>
    <row r="633" spans="8:8">
      <c r="H633" t="s">
        <v>584</v>
      </c>
    </row>
    <row r="634" spans="8:8">
      <c r="H634" t="s">
        <v>585</v>
      </c>
    </row>
    <row r="635" spans="8:8">
      <c r="H635" t="s">
        <v>586</v>
      </c>
    </row>
    <row r="636" spans="8:8">
      <c r="H636" t="s">
        <v>587</v>
      </c>
    </row>
    <row r="637" spans="8:8">
      <c r="H637" t="s">
        <v>588</v>
      </c>
    </row>
    <row r="638" spans="8:8">
      <c r="H638" t="s">
        <v>589</v>
      </c>
    </row>
    <row r="639" spans="8:8">
      <c r="H639" t="s">
        <v>590</v>
      </c>
    </row>
    <row r="640" spans="8:8">
      <c r="H640" t="s">
        <v>591</v>
      </c>
    </row>
    <row r="641" spans="8:8">
      <c r="H641" t="s">
        <v>592</v>
      </c>
    </row>
    <row r="642" spans="8:8">
      <c r="H642" t="s">
        <v>593</v>
      </c>
    </row>
    <row r="643" spans="8:8">
      <c r="H643" t="s">
        <v>594</v>
      </c>
    </row>
    <row r="644" spans="8:8">
      <c r="H644" t="s">
        <v>595</v>
      </c>
    </row>
    <row r="645" spans="8:8">
      <c r="H645" t="s">
        <v>596</v>
      </c>
    </row>
    <row r="646" spans="8:8">
      <c r="H646" t="s">
        <v>597</v>
      </c>
    </row>
    <row r="647" spans="8:8">
      <c r="H647" t="s">
        <v>598</v>
      </c>
    </row>
    <row r="648" spans="8:8">
      <c r="H648" t="s">
        <v>599</v>
      </c>
    </row>
    <row r="649" spans="8:8">
      <c r="H649" t="s">
        <v>600</v>
      </c>
    </row>
    <row r="650" spans="8:8">
      <c r="H650" t="s">
        <v>601</v>
      </c>
    </row>
    <row r="651" spans="8:8">
      <c r="H651" t="s">
        <v>602</v>
      </c>
    </row>
    <row r="652" spans="8:8">
      <c r="H652" t="s">
        <v>603</v>
      </c>
    </row>
    <row r="653" spans="8:8">
      <c r="H653" t="s">
        <v>604</v>
      </c>
    </row>
    <row r="654" spans="8:8">
      <c r="H654" t="s">
        <v>605</v>
      </c>
    </row>
    <row r="655" spans="8:8">
      <c r="H655" t="s">
        <v>606</v>
      </c>
    </row>
    <row r="656" spans="8:8">
      <c r="H656" t="s">
        <v>607</v>
      </c>
    </row>
    <row r="657" spans="8:8">
      <c r="H657" t="s">
        <v>608</v>
      </c>
    </row>
    <row r="658" spans="8:8">
      <c r="H658" t="s">
        <v>609</v>
      </c>
    </row>
    <row r="659" spans="8:8">
      <c r="H659" t="s">
        <v>610</v>
      </c>
    </row>
    <row r="660" spans="8:8">
      <c r="H660" t="s">
        <v>611</v>
      </c>
    </row>
    <row r="661" spans="8:8">
      <c r="H661" t="s">
        <v>612</v>
      </c>
    </row>
    <row r="662" spans="8:8">
      <c r="H662" t="s">
        <v>613</v>
      </c>
    </row>
    <row r="663" spans="8:8">
      <c r="H663" t="s">
        <v>614</v>
      </c>
    </row>
    <row r="664" spans="8:8">
      <c r="H664" t="s">
        <v>615</v>
      </c>
    </row>
    <row r="665" spans="8:8">
      <c r="H665" t="s">
        <v>616</v>
      </c>
    </row>
    <row r="666" spans="8:8">
      <c r="H666" t="s">
        <v>617</v>
      </c>
    </row>
    <row r="667" spans="8:8">
      <c r="H667" t="s">
        <v>618</v>
      </c>
    </row>
    <row r="668" spans="8:8">
      <c r="H668" t="s">
        <v>619</v>
      </c>
    </row>
    <row r="669" spans="8:8">
      <c r="H669" t="s">
        <v>620</v>
      </c>
    </row>
    <row r="670" spans="8:8">
      <c r="H670" t="s">
        <v>621</v>
      </c>
    </row>
    <row r="671" spans="8:8">
      <c r="H671" t="s">
        <v>622</v>
      </c>
    </row>
    <row r="672" spans="8:8">
      <c r="H672" t="s">
        <v>623</v>
      </c>
    </row>
    <row r="673" spans="8:8">
      <c r="H673" t="s">
        <v>624</v>
      </c>
    </row>
    <row r="674" spans="8:8">
      <c r="H674" t="s">
        <v>625</v>
      </c>
    </row>
    <row r="675" spans="8:8">
      <c r="H675" t="s">
        <v>626</v>
      </c>
    </row>
    <row r="676" spans="8:8">
      <c r="H676" t="s">
        <v>627</v>
      </c>
    </row>
    <row r="677" spans="8:8">
      <c r="H677" t="s">
        <v>628</v>
      </c>
    </row>
    <row r="678" spans="8:8">
      <c r="H678" t="s">
        <v>629</v>
      </c>
    </row>
    <row r="679" spans="8:8">
      <c r="H679" t="s">
        <v>630</v>
      </c>
    </row>
    <row r="680" spans="8:8">
      <c r="H680" t="s">
        <v>631</v>
      </c>
    </row>
    <row r="681" spans="8:8">
      <c r="H681" t="s">
        <v>632</v>
      </c>
    </row>
    <row r="682" spans="8:8">
      <c r="H682" t="s">
        <v>633</v>
      </c>
    </row>
    <row r="683" spans="8:8">
      <c r="H683" t="s">
        <v>634</v>
      </c>
    </row>
    <row r="684" spans="8:8">
      <c r="H684" t="s">
        <v>635</v>
      </c>
    </row>
    <row r="685" spans="8:8">
      <c r="H685" t="s">
        <v>636</v>
      </c>
    </row>
    <row r="686" spans="8:8">
      <c r="H686" t="s">
        <v>637</v>
      </c>
    </row>
    <row r="687" spans="8:8">
      <c r="H687" t="s">
        <v>638</v>
      </c>
    </row>
    <row r="688" spans="8:8">
      <c r="H688" t="s">
        <v>639</v>
      </c>
    </row>
    <row r="689" spans="8:8">
      <c r="H689" t="s">
        <v>640</v>
      </c>
    </row>
    <row r="690" spans="8:8">
      <c r="H690" t="s">
        <v>641</v>
      </c>
    </row>
    <row r="691" spans="8:8">
      <c r="H691" t="s">
        <v>642</v>
      </c>
    </row>
    <row r="692" spans="8:8">
      <c r="H692" t="s">
        <v>643</v>
      </c>
    </row>
    <row r="693" spans="8:8">
      <c r="H693" t="s">
        <v>644</v>
      </c>
    </row>
    <row r="694" spans="8:8">
      <c r="H694" t="s">
        <v>645</v>
      </c>
    </row>
    <row r="695" spans="8:8">
      <c r="H695" t="s">
        <v>646</v>
      </c>
    </row>
    <row r="696" spans="8:8">
      <c r="H696" t="s">
        <v>647</v>
      </c>
    </row>
    <row r="697" spans="8:8">
      <c r="H697" t="s">
        <v>648</v>
      </c>
    </row>
    <row r="698" spans="8:8">
      <c r="H698" t="s">
        <v>649</v>
      </c>
    </row>
    <row r="699" spans="8:8">
      <c r="H699" t="s">
        <v>650</v>
      </c>
    </row>
    <row r="700" spans="8:8">
      <c r="H700" t="s">
        <v>651</v>
      </c>
    </row>
    <row r="701" spans="8:8">
      <c r="H701" t="s">
        <v>652</v>
      </c>
    </row>
    <row r="702" spans="8:8">
      <c r="H702" t="s">
        <v>653</v>
      </c>
    </row>
    <row r="703" spans="8:8">
      <c r="H703" t="s">
        <v>654</v>
      </c>
    </row>
    <row r="704" spans="8:8">
      <c r="H704" t="s">
        <v>655</v>
      </c>
    </row>
    <row r="705" spans="8:8">
      <c r="H705" t="s">
        <v>656</v>
      </c>
    </row>
    <row r="706" spans="8:8">
      <c r="H706" t="s">
        <v>657</v>
      </c>
    </row>
    <row r="707" spans="8:8">
      <c r="H707" t="s">
        <v>658</v>
      </c>
    </row>
    <row r="708" spans="8:8">
      <c r="H708" t="s">
        <v>659</v>
      </c>
    </row>
    <row r="709" spans="8:8">
      <c r="H709" t="s">
        <v>660</v>
      </c>
    </row>
    <row r="710" spans="8:8">
      <c r="H710" t="s">
        <v>661</v>
      </c>
    </row>
    <row r="711" spans="8:8">
      <c r="H711" t="s">
        <v>662</v>
      </c>
    </row>
    <row r="712" spans="8:8">
      <c r="H712" t="s">
        <v>663</v>
      </c>
    </row>
    <row r="713" spans="8:8">
      <c r="H713" t="s">
        <v>664</v>
      </c>
    </row>
    <row r="714" spans="8:8">
      <c r="H714" t="s">
        <v>665</v>
      </c>
    </row>
    <row r="715" spans="8:8">
      <c r="H715" t="s">
        <v>666</v>
      </c>
    </row>
    <row r="716" spans="8:8">
      <c r="H716" t="s">
        <v>667</v>
      </c>
    </row>
    <row r="717" spans="8:8">
      <c r="H717" t="s">
        <v>668</v>
      </c>
    </row>
    <row r="718" spans="8:8">
      <c r="H718" t="s">
        <v>669</v>
      </c>
    </row>
    <row r="719" spans="8:8">
      <c r="H719" t="s">
        <v>670</v>
      </c>
    </row>
    <row r="720" spans="8:8">
      <c r="H720" t="s">
        <v>671</v>
      </c>
    </row>
    <row r="721" spans="8:8">
      <c r="H721" t="s">
        <v>672</v>
      </c>
    </row>
    <row r="722" spans="8:8">
      <c r="H722" t="s">
        <v>673</v>
      </c>
    </row>
    <row r="723" spans="8:8">
      <c r="H723" t="s">
        <v>674</v>
      </c>
    </row>
    <row r="724" spans="8:8">
      <c r="H724" t="s">
        <v>675</v>
      </c>
    </row>
    <row r="725" spans="8:8">
      <c r="H725" t="s">
        <v>676</v>
      </c>
    </row>
    <row r="726" spans="8:8">
      <c r="H726" t="s">
        <v>677</v>
      </c>
    </row>
    <row r="727" spans="8:8">
      <c r="H727" t="s">
        <v>678</v>
      </c>
    </row>
    <row r="728" spans="8:8">
      <c r="H728" t="s">
        <v>679</v>
      </c>
    </row>
    <row r="729" spans="8:8">
      <c r="H729" t="s">
        <v>680</v>
      </c>
    </row>
    <row r="730" spans="8:8">
      <c r="H730" t="s">
        <v>681</v>
      </c>
    </row>
    <row r="731" spans="8:8">
      <c r="H731" t="s">
        <v>682</v>
      </c>
    </row>
    <row r="732" spans="8:8">
      <c r="H732" t="s">
        <v>683</v>
      </c>
    </row>
    <row r="733" spans="8:8">
      <c r="H733" t="s">
        <v>684</v>
      </c>
    </row>
    <row r="734" spans="8:8">
      <c r="H734" t="s">
        <v>685</v>
      </c>
    </row>
    <row r="735" spans="8:8">
      <c r="H735" t="s">
        <v>686</v>
      </c>
    </row>
    <row r="736" spans="8:8">
      <c r="H736" t="s">
        <v>687</v>
      </c>
    </row>
    <row r="737" spans="8:8">
      <c r="H737" t="s">
        <v>688</v>
      </c>
    </row>
    <row r="738" spans="8:8">
      <c r="H738" t="s">
        <v>689</v>
      </c>
    </row>
    <row r="739" spans="8:8">
      <c r="H739" t="s">
        <v>690</v>
      </c>
    </row>
    <row r="740" spans="8:8">
      <c r="H740" t="s">
        <v>691</v>
      </c>
    </row>
    <row r="741" spans="8:8">
      <c r="H741" t="s">
        <v>692</v>
      </c>
    </row>
    <row r="742" spans="8:8">
      <c r="H742" t="s">
        <v>693</v>
      </c>
    </row>
    <row r="743" spans="8:8">
      <c r="H743" t="s">
        <v>694</v>
      </c>
    </row>
    <row r="744" spans="8:8">
      <c r="H744" t="s">
        <v>695</v>
      </c>
    </row>
    <row r="745" spans="8:8">
      <c r="H745" t="s">
        <v>696</v>
      </c>
    </row>
    <row r="746" spans="8:8">
      <c r="H746" t="s">
        <v>697</v>
      </c>
    </row>
    <row r="747" spans="8:8">
      <c r="H747" t="s">
        <v>698</v>
      </c>
    </row>
    <row r="748" spans="8:8">
      <c r="H748" t="s">
        <v>699</v>
      </c>
    </row>
    <row r="749" spans="8:8">
      <c r="H749" t="s">
        <v>700</v>
      </c>
    </row>
    <row r="750" spans="8:8">
      <c r="H750" t="s">
        <v>701</v>
      </c>
    </row>
    <row r="751" spans="8:8">
      <c r="H751" t="s">
        <v>702</v>
      </c>
    </row>
    <row r="752" spans="8:8">
      <c r="H752" t="s">
        <v>703</v>
      </c>
    </row>
    <row r="753" spans="8:8">
      <c r="H753" t="s">
        <v>704</v>
      </c>
    </row>
    <row r="754" spans="8:8">
      <c r="H754" t="s">
        <v>705</v>
      </c>
    </row>
    <row r="755" spans="8:8">
      <c r="H755" t="s">
        <v>706</v>
      </c>
    </row>
    <row r="756" spans="8:8">
      <c r="H756" t="s">
        <v>707</v>
      </c>
    </row>
    <row r="757" spans="8:8">
      <c r="H757" t="s">
        <v>708</v>
      </c>
    </row>
    <row r="758" spans="8:8">
      <c r="H758" t="s">
        <v>709</v>
      </c>
    </row>
    <row r="759" spans="8:8">
      <c r="H759" t="s">
        <v>710</v>
      </c>
    </row>
    <row r="760" spans="8:8">
      <c r="H760" t="s">
        <v>711</v>
      </c>
    </row>
    <row r="761" spans="8:8">
      <c r="H761" t="s">
        <v>712</v>
      </c>
    </row>
    <row r="762" spans="8:8">
      <c r="H762" t="s">
        <v>713</v>
      </c>
    </row>
    <row r="763" spans="8:8">
      <c r="H763" t="s">
        <v>714</v>
      </c>
    </row>
    <row r="764" spans="8:8">
      <c r="H764" t="s">
        <v>715</v>
      </c>
    </row>
    <row r="765" spans="8:8">
      <c r="H765" t="s">
        <v>716</v>
      </c>
    </row>
    <row r="766" spans="8:8">
      <c r="H766" t="s">
        <v>717</v>
      </c>
    </row>
    <row r="767" spans="8:8">
      <c r="H767" t="s">
        <v>718</v>
      </c>
    </row>
    <row r="768" spans="8:8">
      <c r="H768" t="s">
        <v>719</v>
      </c>
    </row>
    <row r="769" spans="8:8">
      <c r="H769" t="s">
        <v>720</v>
      </c>
    </row>
    <row r="770" spans="8:8">
      <c r="H770" t="s">
        <v>721</v>
      </c>
    </row>
    <row r="771" spans="8:8">
      <c r="H771" t="s">
        <v>722</v>
      </c>
    </row>
    <row r="772" spans="8:8">
      <c r="H772" t="s">
        <v>723</v>
      </c>
    </row>
    <row r="773" spans="8:8">
      <c r="H773" t="s">
        <v>724</v>
      </c>
    </row>
    <row r="774" spans="8:8">
      <c r="H774" t="s">
        <v>725</v>
      </c>
    </row>
    <row r="775" spans="8:8">
      <c r="H775" t="s">
        <v>726</v>
      </c>
    </row>
    <row r="776" spans="8:8">
      <c r="H776" t="s">
        <v>727</v>
      </c>
    </row>
    <row r="777" spans="8:8">
      <c r="H777" t="s">
        <v>728</v>
      </c>
    </row>
    <row r="778" spans="8:8">
      <c r="H778" t="s">
        <v>729</v>
      </c>
    </row>
    <row r="779" spans="8:8">
      <c r="H779" t="s">
        <v>730</v>
      </c>
    </row>
    <row r="780" spans="8:8">
      <c r="H780" t="s">
        <v>731</v>
      </c>
    </row>
    <row r="781" spans="8:8">
      <c r="H781" t="s">
        <v>732</v>
      </c>
    </row>
    <row r="782" spans="8:8">
      <c r="H782" t="s">
        <v>733</v>
      </c>
    </row>
    <row r="783" spans="8:8">
      <c r="H783" t="s">
        <v>734</v>
      </c>
    </row>
    <row r="784" spans="8:8">
      <c r="H784" t="s">
        <v>735</v>
      </c>
    </row>
    <row r="785" spans="8:8">
      <c r="H785" t="s">
        <v>736</v>
      </c>
    </row>
    <row r="786" spans="8:8">
      <c r="H786" t="s">
        <v>737</v>
      </c>
    </row>
    <row r="787" spans="8:8">
      <c r="H787" t="s">
        <v>738</v>
      </c>
    </row>
    <row r="788" spans="8:8">
      <c r="H788" t="s">
        <v>739</v>
      </c>
    </row>
    <row r="789" spans="8:8">
      <c r="H789" t="s">
        <v>740</v>
      </c>
    </row>
    <row r="790" spans="8:8">
      <c r="H790" t="s">
        <v>741</v>
      </c>
    </row>
    <row r="791" spans="8:8">
      <c r="H791" t="s">
        <v>742</v>
      </c>
    </row>
    <row r="792" spans="8:8">
      <c r="H792" t="s">
        <v>743</v>
      </c>
    </row>
    <row r="793" spans="8:8">
      <c r="H793" t="s">
        <v>744</v>
      </c>
    </row>
    <row r="794" spans="8:8">
      <c r="H794" t="s">
        <v>745</v>
      </c>
    </row>
    <row r="795" spans="8:8">
      <c r="H795" t="s">
        <v>746</v>
      </c>
    </row>
    <row r="796" spans="8:8">
      <c r="H796" t="s">
        <v>747</v>
      </c>
    </row>
    <row r="797" spans="8:8">
      <c r="H797" t="s">
        <v>748</v>
      </c>
    </row>
    <row r="798" spans="8:8">
      <c r="H798" t="s">
        <v>749</v>
      </c>
    </row>
    <row r="799" spans="8:8">
      <c r="H799" t="s">
        <v>750</v>
      </c>
    </row>
    <row r="800" spans="8:8">
      <c r="H800" t="s">
        <v>751</v>
      </c>
    </row>
    <row r="801" spans="8:8">
      <c r="H801" t="s">
        <v>752</v>
      </c>
    </row>
    <row r="802" spans="8:8">
      <c r="H802" t="s">
        <v>753</v>
      </c>
    </row>
    <row r="803" spans="8:8">
      <c r="H803" t="s">
        <v>754</v>
      </c>
    </row>
    <row r="804" spans="8:8">
      <c r="H804" t="s">
        <v>755</v>
      </c>
    </row>
    <row r="805" spans="8:8">
      <c r="H805" t="s">
        <v>756</v>
      </c>
    </row>
    <row r="806" spans="8:8">
      <c r="H806" t="s">
        <v>757</v>
      </c>
    </row>
    <row r="807" spans="8:8">
      <c r="H807" t="s">
        <v>758</v>
      </c>
    </row>
    <row r="808" spans="8:8">
      <c r="H808" t="s">
        <v>759</v>
      </c>
    </row>
    <row r="809" spans="8:8">
      <c r="H809" t="s">
        <v>760</v>
      </c>
    </row>
    <row r="810" spans="8:8">
      <c r="H810" t="s">
        <v>761</v>
      </c>
    </row>
    <row r="811" spans="8:8">
      <c r="H811" t="s">
        <v>762</v>
      </c>
    </row>
    <row r="812" spans="8:8">
      <c r="H812" t="s">
        <v>763</v>
      </c>
    </row>
    <row r="813" spans="8:8">
      <c r="H813" t="s">
        <v>764</v>
      </c>
    </row>
    <row r="814" spans="8:8">
      <c r="H814" t="s">
        <v>765</v>
      </c>
    </row>
    <row r="815" spans="8:8">
      <c r="H815" t="s">
        <v>766</v>
      </c>
    </row>
    <row r="816" spans="8:8">
      <c r="H816" t="s">
        <v>767</v>
      </c>
    </row>
    <row r="817" spans="8:8">
      <c r="H817" t="s">
        <v>768</v>
      </c>
    </row>
    <row r="818" spans="8:8">
      <c r="H818" t="s">
        <v>769</v>
      </c>
    </row>
    <row r="819" spans="8:8">
      <c r="H819" t="s">
        <v>770</v>
      </c>
    </row>
    <row r="820" spans="8:8">
      <c r="H820" t="s">
        <v>771</v>
      </c>
    </row>
    <row r="821" spans="8:8">
      <c r="H821" t="s">
        <v>772</v>
      </c>
    </row>
    <row r="822" spans="8:8">
      <c r="H822" t="s">
        <v>773</v>
      </c>
    </row>
    <row r="823" spans="8:8">
      <c r="H823" t="s">
        <v>774</v>
      </c>
    </row>
    <row r="824" spans="8:8">
      <c r="H824" t="s">
        <v>775</v>
      </c>
    </row>
    <row r="825" spans="8:8">
      <c r="H825" t="s">
        <v>776</v>
      </c>
    </row>
    <row r="826" spans="8:8">
      <c r="H826" t="s">
        <v>777</v>
      </c>
    </row>
    <row r="827" spans="8:8">
      <c r="H827" t="s">
        <v>778</v>
      </c>
    </row>
    <row r="828" spans="8:8">
      <c r="H828" t="s">
        <v>779</v>
      </c>
    </row>
    <row r="829" spans="8:8">
      <c r="H829" t="s">
        <v>780</v>
      </c>
    </row>
    <row r="830" spans="8:8">
      <c r="H830" t="s">
        <v>781</v>
      </c>
    </row>
    <row r="831" spans="8:8">
      <c r="H831" t="s">
        <v>782</v>
      </c>
    </row>
    <row r="832" spans="8:8">
      <c r="H832" t="s">
        <v>783</v>
      </c>
    </row>
    <row r="833" spans="8:8">
      <c r="H833" t="s">
        <v>784</v>
      </c>
    </row>
    <row r="834" spans="8:8">
      <c r="H834" t="s">
        <v>785</v>
      </c>
    </row>
    <row r="835" spans="8:8">
      <c r="H835" t="s">
        <v>786</v>
      </c>
    </row>
    <row r="836" spans="8:8">
      <c r="H836" t="s">
        <v>787</v>
      </c>
    </row>
    <row r="837" spans="8:8">
      <c r="H837" t="s">
        <v>788</v>
      </c>
    </row>
    <row r="838" spans="8:8">
      <c r="H838" t="s">
        <v>789</v>
      </c>
    </row>
    <row r="839" spans="8:8">
      <c r="H839" t="s">
        <v>790</v>
      </c>
    </row>
    <row r="840" spans="8:8">
      <c r="H840" t="s">
        <v>791</v>
      </c>
    </row>
    <row r="841" spans="8:8">
      <c r="H841" t="s">
        <v>792</v>
      </c>
    </row>
    <row r="842" spans="8:8">
      <c r="H842" t="s">
        <v>793</v>
      </c>
    </row>
    <row r="843" spans="8:8">
      <c r="H843" t="s">
        <v>794</v>
      </c>
    </row>
    <row r="844" spans="8:8">
      <c r="H844" t="s">
        <v>795</v>
      </c>
    </row>
    <row r="845" spans="8:8">
      <c r="H845" t="s">
        <v>796</v>
      </c>
    </row>
    <row r="846" spans="8:8">
      <c r="H846" t="s">
        <v>797</v>
      </c>
    </row>
    <row r="847" spans="8:8">
      <c r="H847" t="s">
        <v>798</v>
      </c>
    </row>
    <row r="848" spans="8:8">
      <c r="H848" t="s">
        <v>799</v>
      </c>
    </row>
    <row r="849" spans="8:8">
      <c r="H849" t="s">
        <v>800</v>
      </c>
    </row>
    <row r="850" spans="8:8">
      <c r="H850" t="s">
        <v>801</v>
      </c>
    </row>
    <row r="851" spans="8:8">
      <c r="H851" t="s">
        <v>802</v>
      </c>
    </row>
    <row r="852" spans="8:8">
      <c r="H852" t="s">
        <v>803</v>
      </c>
    </row>
    <row r="853" spans="8:8">
      <c r="H853" t="s">
        <v>804</v>
      </c>
    </row>
    <row r="854" spans="8:8">
      <c r="H854" t="s">
        <v>805</v>
      </c>
    </row>
    <row r="855" spans="8:8">
      <c r="H855" t="s">
        <v>806</v>
      </c>
    </row>
    <row r="856" spans="8:8">
      <c r="H856" t="s">
        <v>807</v>
      </c>
    </row>
    <row r="857" spans="8:8">
      <c r="H857" t="s">
        <v>808</v>
      </c>
    </row>
    <row r="858" spans="8:8">
      <c r="H858" t="s">
        <v>809</v>
      </c>
    </row>
    <row r="859" spans="8:8">
      <c r="H859" t="s">
        <v>810</v>
      </c>
    </row>
    <row r="860" spans="8:8">
      <c r="H860" t="s">
        <v>811</v>
      </c>
    </row>
    <row r="861" spans="8:8">
      <c r="H861" t="s">
        <v>812</v>
      </c>
    </row>
    <row r="862" spans="8:8">
      <c r="H862" t="s">
        <v>813</v>
      </c>
    </row>
    <row r="863" spans="8:8">
      <c r="H863" t="s">
        <v>814</v>
      </c>
    </row>
    <row r="864" spans="8:8">
      <c r="H864" t="s">
        <v>815</v>
      </c>
    </row>
    <row r="865" spans="8:8">
      <c r="H865" t="s">
        <v>816</v>
      </c>
    </row>
    <row r="866" spans="8:8">
      <c r="H866" t="s">
        <v>817</v>
      </c>
    </row>
    <row r="867" spans="8:8">
      <c r="H867" t="s">
        <v>818</v>
      </c>
    </row>
    <row r="868" spans="8:8">
      <c r="H868" t="s">
        <v>819</v>
      </c>
    </row>
    <row r="869" spans="8:8">
      <c r="H869" t="s">
        <v>820</v>
      </c>
    </row>
    <row r="870" spans="8:8">
      <c r="H870" t="s">
        <v>821</v>
      </c>
    </row>
    <row r="871" spans="8:8">
      <c r="H871" t="s">
        <v>822</v>
      </c>
    </row>
    <row r="872" spans="8:8">
      <c r="H872" t="s">
        <v>823</v>
      </c>
    </row>
    <row r="873" spans="8:8">
      <c r="H873" t="s">
        <v>824</v>
      </c>
    </row>
    <row r="874" spans="8:8">
      <c r="H874" t="s">
        <v>825</v>
      </c>
    </row>
    <row r="875" spans="8:8">
      <c r="H875" t="s">
        <v>826</v>
      </c>
    </row>
    <row r="876" spans="8:8">
      <c r="H876" t="s">
        <v>827</v>
      </c>
    </row>
    <row r="877" spans="8:8">
      <c r="H877" t="s">
        <v>828</v>
      </c>
    </row>
    <row r="878" spans="8:8">
      <c r="H878" t="s">
        <v>829</v>
      </c>
    </row>
    <row r="879" spans="8:8">
      <c r="H879" t="s">
        <v>830</v>
      </c>
    </row>
    <row r="880" spans="8:8">
      <c r="H880" t="s">
        <v>831</v>
      </c>
    </row>
    <row r="881" spans="8:8">
      <c r="H881" t="s">
        <v>832</v>
      </c>
    </row>
    <row r="882" spans="8:8">
      <c r="H882" t="s">
        <v>833</v>
      </c>
    </row>
    <row r="883" spans="8:8">
      <c r="H883" t="s">
        <v>834</v>
      </c>
    </row>
    <row r="884" spans="8:8">
      <c r="H884" t="s">
        <v>835</v>
      </c>
    </row>
    <row r="885" spans="8:8">
      <c r="H885" t="s">
        <v>836</v>
      </c>
    </row>
    <row r="886" spans="8:8">
      <c r="H886" t="s">
        <v>837</v>
      </c>
    </row>
    <row r="887" spans="8:8">
      <c r="H887" t="s">
        <v>838</v>
      </c>
    </row>
    <row r="888" spans="8:8">
      <c r="H888" t="s">
        <v>839</v>
      </c>
    </row>
    <row r="889" spans="8:8">
      <c r="H889" t="s">
        <v>840</v>
      </c>
    </row>
    <row r="890" spans="8:8">
      <c r="H890" t="s">
        <v>841</v>
      </c>
    </row>
    <row r="891" spans="8:8">
      <c r="H891" t="s">
        <v>842</v>
      </c>
    </row>
    <row r="892" spans="8:8">
      <c r="H892" t="s">
        <v>843</v>
      </c>
    </row>
    <row r="893" spans="8:8">
      <c r="H893" t="s">
        <v>844</v>
      </c>
    </row>
    <row r="894" spans="8:8">
      <c r="H894" t="s">
        <v>845</v>
      </c>
    </row>
    <row r="895" spans="8:8">
      <c r="H895" t="s">
        <v>846</v>
      </c>
    </row>
    <row r="896" spans="8:8">
      <c r="H896" t="s">
        <v>847</v>
      </c>
    </row>
    <row r="897" spans="8:8">
      <c r="H897" t="s">
        <v>848</v>
      </c>
    </row>
    <row r="898" spans="8:8">
      <c r="H898" t="s">
        <v>849</v>
      </c>
    </row>
    <row r="899" spans="8:8">
      <c r="H899" t="s">
        <v>850</v>
      </c>
    </row>
    <row r="900" spans="8:8">
      <c r="H900" t="s">
        <v>851</v>
      </c>
    </row>
    <row r="901" spans="8:8">
      <c r="H901" t="s">
        <v>852</v>
      </c>
    </row>
    <row r="902" spans="8:8">
      <c r="H902" t="s">
        <v>853</v>
      </c>
    </row>
    <row r="903" spans="8:8">
      <c r="H903" t="s">
        <v>854</v>
      </c>
    </row>
    <row r="904" spans="8:8">
      <c r="H904" t="s">
        <v>855</v>
      </c>
    </row>
    <row r="905" spans="8:8">
      <c r="H905" t="s">
        <v>856</v>
      </c>
    </row>
    <row r="906" spans="8:8">
      <c r="H906" t="s">
        <v>857</v>
      </c>
    </row>
    <row r="907" spans="8:8">
      <c r="H907" t="s">
        <v>858</v>
      </c>
    </row>
    <row r="908" spans="8:8">
      <c r="H908" t="s">
        <v>859</v>
      </c>
    </row>
    <row r="909" spans="8:8">
      <c r="H909" t="s">
        <v>860</v>
      </c>
    </row>
    <row r="910" spans="8:8">
      <c r="H910" t="s">
        <v>861</v>
      </c>
    </row>
    <row r="911" spans="8:8">
      <c r="H911" t="s">
        <v>862</v>
      </c>
    </row>
    <row r="912" spans="8:8">
      <c r="H912" t="s">
        <v>863</v>
      </c>
    </row>
    <row r="913" spans="8:8">
      <c r="H913" t="s">
        <v>864</v>
      </c>
    </row>
    <row r="914" spans="8:8">
      <c r="H914" t="s">
        <v>865</v>
      </c>
    </row>
    <row r="915" spans="8:8">
      <c r="H915" t="s">
        <v>866</v>
      </c>
    </row>
    <row r="916" spans="8:8">
      <c r="H916" t="s">
        <v>867</v>
      </c>
    </row>
    <row r="917" spans="8:8">
      <c r="H917" t="s">
        <v>868</v>
      </c>
    </row>
    <row r="918" spans="8:8">
      <c r="H918" t="s">
        <v>869</v>
      </c>
    </row>
    <row r="919" spans="8:8">
      <c r="H919" t="s">
        <v>870</v>
      </c>
    </row>
    <row r="920" spans="8:8">
      <c r="H920" t="s">
        <v>871</v>
      </c>
    </row>
    <row r="921" spans="8:8">
      <c r="H921" t="s">
        <v>872</v>
      </c>
    </row>
    <row r="922" spans="8:8">
      <c r="H922" t="s">
        <v>873</v>
      </c>
    </row>
    <row r="923" spans="8:8">
      <c r="H923" t="s">
        <v>874</v>
      </c>
    </row>
    <row r="924" spans="8:8">
      <c r="H924" t="s">
        <v>875</v>
      </c>
    </row>
    <row r="925" spans="8:8">
      <c r="H925" t="s">
        <v>876</v>
      </c>
    </row>
    <row r="926" spans="8:8">
      <c r="H926" t="s">
        <v>877</v>
      </c>
    </row>
    <row r="927" spans="8:8">
      <c r="H927" t="s">
        <v>878</v>
      </c>
    </row>
    <row r="928" spans="8:8">
      <c r="H928" t="s">
        <v>879</v>
      </c>
    </row>
    <row r="929" spans="8:8">
      <c r="H929" t="s">
        <v>880</v>
      </c>
    </row>
    <row r="930" spans="8:8">
      <c r="H930" t="s">
        <v>881</v>
      </c>
    </row>
    <row r="931" spans="8:8">
      <c r="H931" t="s">
        <v>882</v>
      </c>
    </row>
    <row r="932" spans="8:8">
      <c r="H932" t="s">
        <v>883</v>
      </c>
    </row>
    <row r="933" spans="8:8">
      <c r="H933" t="s">
        <v>884</v>
      </c>
    </row>
    <row r="934" spans="8:8">
      <c r="H934" t="s">
        <v>885</v>
      </c>
    </row>
    <row r="935" spans="8:8">
      <c r="H935" t="s">
        <v>886</v>
      </c>
    </row>
    <row r="936" spans="8:8">
      <c r="H936" t="s">
        <v>887</v>
      </c>
    </row>
    <row r="937" spans="8:8">
      <c r="H937" t="s">
        <v>888</v>
      </c>
    </row>
    <row r="938" spans="8:8">
      <c r="H938" t="s">
        <v>889</v>
      </c>
    </row>
    <row r="939" spans="8:8">
      <c r="H939" t="s">
        <v>890</v>
      </c>
    </row>
    <row r="940" spans="8:8">
      <c r="H940" t="s">
        <v>891</v>
      </c>
    </row>
    <row r="941" spans="8:8">
      <c r="H941" t="s">
        <v>892</v>
      </c>
    </row>
    <row r="942" spans="8:8">
      <c r="H942" t="s">
        <v>893</v>
      </c>
    </row>
    <row r="943" spans="8:8">
      <c r="H943" t="s">
        <v>894</v>
      </c>
    </row>
    <row r="944" spans="8:8">
      <c r="H944" t="s">
        <v>895</v>
      </c>
    </row>
    <row r="945" spans="8:8">
      <c r="H945" t="s">
        <v>896</v>
      </c>
    </row>
    <row r="946" spans="8:8">
      <c r="H946" t="s">
        <v>897</v>
      </c>
    </row>
    <row r="947" spans="8:8">
      <c r="H947" t="s">
        <v>898</v>
      </c>
    </row>
    <row r="948" spans="8:8">
      <c r="H948" t="s">
        <v>899</v>
      </c>
    </row>
    <row r="949" spans="8:8">
      <c r="H949" t="s">
        <v>900</v>
      </c>
    </row>
    <row r="950" spans="8:8">
      <c r="H950" t="s">
        <v>901</v>
      </c>
    </row>
    <row r="951" spans="8:8">
      <c r="H951" t="s">
        <v>902</v>
      </c>
    </row>
    <row r="952" spans="8:8">
      <c r="H952" t="s">
        <v>903</v>
      </c>
    </row>
    <row r="953" spans="8:8">
      <c r="H953" t="s">
        <v>904</v>
      </c>
    </row>
    <row r="954" spans="8:8">
      <c r="H954" t="s">
        <v>905</v>
      </c>
    </row>
    <row r="955" spans="8:8">
      <c r="H955" t="s">
        <v>906</v>
      </c>
    </row>
    <row r="956" spans="8:8">
      <c r="H956" t="s">
        <v>907</v>
      </c>
    </row>
    <row r="957" spans="8:8">
      <c r="H957" t="s">
        <v>908</v>
      </c>
    </row>
    <row r="958" spans="8:8">
      <c r="H958" t="s">
        <v>909</v>
      </c>
    </row>
    <row r="959" spans="8:8">
      <c r="H959" t="s">
        <v>910</v>
      </c>
    </row>
    <row r="960" spans="8:8">
      <c r="H960" t="s">
        <v>911</v>
      </c>
    </row>
    <row r="961" spans="8:8">
      <c r="H961" t="s">
        <v>912</v>
      </c>
    </row>
    <row r="962" spans="8:8">
      <c r="H962" t="s">
        <v>913</v>
      </c>
    </row>
    <row r="963" spans="8:8">
      <c r="H963" t="s">
        <v>914</v>
      </c>
    </row>
    <row r="964" spans="8:8">
      <c r="H964" t="s">
        <v>915</v>
      </c>
    </row>
    <row r="965" spans="8:8">
      <c r="H965" t="s">
        <v>916</v>
      </c>
    </row>
    <row r="966" spans="8:8">
      <c r="H966" t="s">
        <v>917</v>
      </c>
    </row>
    <row r="967" spans="8:8">
      <c r="H967" t="s">
        <v>918</v>
      </c>
    </row>
    <row r="968" spans="8:8">
      <c r="H968" t="s">
        <v>919</v>
      </c>
    </row>
    <row r="969" spans="8:8">
      <c r="H969" t="s">
        <v>920</v>
      </c>
    </row>
    <row r="970" spans="8:8">
      <c r="H970" t="s">
        <v>921</v>
      </c>
    </row>
    <row r="971" spans="8:8">
      <c r="H971" t="s">
        <v>922</v>
      </c>
    </row>
    <row r="972" spans="8:8">
      <c r="H972" t="s">
        <v>923</v>
      </c>
    </row>
    <row r="973" spans="8:8">
      <c r="H973" t="s">
        <v>924</v>
      </c>
    </row>
    <row r="974" spans="8:8">
      <c r="H974" t="s">
        <v>925</v>
      </c>
    </row>
    <row r="975" spans="8:8">
      <c r="H975" t="s">
        <v>926</v>
      </c>
    </row>
    <row r="976" spans="8:8">
      <c r="H976" t="s">
        <v>927</v>
      </c>
    </row>
    <row r="977" spans="8:8">
      <c r="H977" t="s">
        <v>928</v>
      </c>
    </row>
    <row r="978" spans="8:8">
      <c r="H978" t="s">
        <v>929</v>
      </c>
    </row>
    <row r="979" spans="8:8">
      <c r="H979" t="s">
        <v>930</v>
      </c>
    </row>
    <row r="980" spans="8:8">
      <c r="H980" t="s">
        <v>931</v>
      </c>
    </row>
    <row r="981" spans="8:8">
      <c r="H981" t="s">
        <v>932</v>
      </c>
    </row>
    <row r="982" spans="8:8">
      <c r="H982" t="s">
        <v>933</v>
      </c>
    </row>
    <row r="983" spans="8:8">
      <c r="H983" t="s">
        <v>934</v>
      </c>
    </row>
    <row r="984" spans="8:8">
      <c r="H984" t="s">
        <v>935</v>
      </c>
    </row>
    <row r="985" spans="8:8">
      <c r="H985" t="s">
        <v>936</v>
      </c>
    </row>
    <row r="986" spans="8:8">
      <c r="H986" t="s">
        <v>937</v>
      </c>
    </row>
    <row r="987" spans="8:8">
      <c r="H987" t="s">
        <v>938</v>
      </c>
    </row>
    <row r="988" spans="8:8">
      <c r="H988" t="s">
        <v>939</v>
      </c>
    </row>
    <row r="989" spans="8:8">
      <c r="H989" t="s">
        <v>940</v>
      </c>
    </row>
    <row r="990" spans="8:8">
      <c r="H990" t="s">
        <v>941</v>
      </c>
    </row>
    <row r="991" spans="8:8">
      <c r="H991" t="s">
        <v>942</v>
      </c>
    </row>
    <row r="992" spans="8:8">
      <c r="H992" t="s">
        <v>943</v>
      </c>
    </row>
    <row r="993" spans="8:8">
      <c r="H993" t="s">
        <v>944</v>
      </c>
    </row>
    <row r="994" spans="8:8">
      <c r="H994" t="s">
        <v>945</v>
      </c>
    </row>
    <row r="995" spans="8:8">
      <c r="H995" t="s">
        <v>946</v>
      </c>
    </row>
    <row r="996" spans="8:8">
      <c r="H996" t="s">
        <v>947</v>
      </c>
    </row>
    <row r="997" spans="8:8">
      <c r="H997" t="s">
        <v>948</v>
      </c>
    </row>
    <row r="998" spans="8:8">
      <c r="H998" t="s">
        <v>949</v>
      </c>
    </row>
    <row r="999" spans="8:8">
      <c r="H999" t="s">
        <v>950</v>
      </c>
    </row>
    <row r="1000" spans="8:8">
      <c r="H1000" t="s">
        <v>951</v>
      </c>
    </row>
    <row r="1001" spans="8:8">
      <c r="H1001" t="s">
        <v>952</v>
      </c>
    </row>
    <row r="1002" spans="8:8">
      <c r="H1002" t="s">
        <v>953</v>
      </c>
    </row>
    <row r="1003" spans="8:8">
      <c r="H1003" t="s">
        <v>954</v>
      </c>
    </row>
    <row r="1004" spans="8:8">
      <c r="H1004" t="s">
        <v>955</v>
      </c>
    </row>
    <row r="1005" spans="8:8">
      <c r="H1005" t="s">
        <v>956</v>
      </c>
    </row>
    <row r="1006" spans="8:8">
      <c r="H1006" t="s">
        <v>957</v>
      </c>
    </row>
    <row r="1007" spans="8:8">
      <c r="H1007" t="s">
        <v>958</v>
      </c>
    </row>
    <row r="1008" spans="8:8">
      <c r="H1008" t="s">
        <v>959</v>
      </c>
    </row>
    <row r="1009" spans="8:8">
      <c r="H1009" t="s">
        <v>960</v>
      </c>
    </row>
    <row r="1010" spans="8:8">
      <c r="H1010" t="s">
        <v>961</v>
      </c>
    </row>
    <row r="1011" spans="8:8">
      <c r="H1011" t="s">
        <v>962</v>
      </c>
    </row>
    <row r="1012" spans="8:8">
      <c r="H1012" t="s">
        <v>963</v>
      </c>
    </row>
    <row r="1013" spans="8:8">
      <c r="H1013" t="s">
        <v>964</v>
      </c>
    </row>
    <row r="1014" spans="8:8">
      <c r="H1014" t="s">
        <v>965</v>
      </c>
    </row>
    <row r="1015" spans="8:8">
      <c r="H1015" t="s">
        <v>966</v>
      </c>
    </row>
    <row r="1016" spans="8:8">
      <c r="H1016" t="s">
        <v>967</v>
      </c>
    </row>
    <row r="1017" spans="8:8">
      <c r="H1017" t="s">
        <v>968</v>
      </c>
    </row>
    <row r="1018" spans="8:8">
      <c r="H1018" t="s">
        <v>969</v>
      </c>
    </row>
    <row r="1019" spans="8:8">
      <c r="H1019" t="s">
        <v>970</v>
      </c>
    </row>
    <row r="1020" spans="8:8">
      <c r="H1020" t="s">
        <v>971</v>
      </c>
    </row>
    <row r="1021" spans="8:8">
      <c r="H1021" t="s">
        <v>972</v>
      </c>
    </row>
    <row r="1022" spans="8:8">
      <c r="H1022" t="s">
        <v>973</v>
      </c>
    </row>
    <row r="1023" spans="8:8">
      <c r="H1023" t="s">
        <v>974</v>
      </c>
    </row>
    <row r="1024" spans="8:8">
      <c r="H1024" t="s">
        <v>975</v>
      </c>
    </row>
    <row r="1025" spans="8:8">
      <c r="H1025" t="s">
        <v>976</v>
      </c>
    </row>
    <row r="1026" spans="8:8">
      <c r="H1026" t="s">
        <v>977</v>
      </c>
    </row>
    <row r="1027" spans="8:8">
      <c r="H1027" t="s">
        <v>978</v>
      </c>
    </row>
    <row r="1028" spans="8:8">
      <c r="H1028" t="s">
        <v>979</v>
      </c>
    </row>
    <row r="1029" spans="8:8">
      <c r="H1029" t="s">
        <v>980</v>
      </c>
    </row>
    <row r="1030" spans="8:8">
      <c r="H1030" t="s">
        <v>981</v>
      </c>
    </row>
    <row r="1031" spans="8:8">
      <c r="H1031" t="s">
        <v>982</v>
      </c>
    </row>
    <row r="1032" spans="8:8">
      <c r="H1032" t="s">
        <v>983</v>
      </c>
    </row>
    <row r="1033" spans="8:8">
      <c r="H1033" t="s">
        <v>984</v>
      </c>
    </row>
    <row r="1034" spans="8:8">
      <c r="H1034" t="s">
        <v>985</v>
      </c>
    </row>
    <row r="1035" spans="8:8">
      <c r="H1035" t="s">
        <v>986</v>
      </c>
    </row>
    <row r="1036" spans="8:8">
      <c r="H1036" t="s">
        <v>987</v>
      </c>
    </row>
    <row r="1037" spans="8:8">
      <c r="H1037" t="s">
        <v>988</v>
      </c>
    </row>
    <row r="1038" spans="8:8">
      <c r="H1038" t="s">
        <v>989</v>
      </c>
    </row>
    <row r="1039" spans="8:8">
      <c r="H1039" t="s">
        <v>990</v>
      </c>
    </row>
    <row r="1040" spans="8:8">
      <c r="H1040" t="s">
        <v>991</v>
      </c>
    </row>
    <row r="1041" spans="8:8">
      <c r="H1041" t="s">
        <v>992</v>
      </c>
    </row>
    <row r="1042" spans="8:8">
      <c r="H1042" t="s">
        <v>993</v>
      </c>
    </row>
    <row r="1043" spans="8:8">
      <c r="H1043" t="s">
        <v>994</v>
      </c>
    </row>
    <row r="1044" spans="8:8">
      <c r="H1044" t="s">
        <v>995</v>
      </c>
    </row>
    <row r="1045" spans="8:8">
      <c r="H1045" t="s">
        <v>996</v>
      </c>
    </row>
    <row r="1046" spans="8:8">
      <c r="H1046" t="s">
        <v>997</v>
      </c>
    </row>
    <row r="1047" spans="8:8">
      <c r="H1047" t="s">
        <v>998</v>
      </c>
    </row>
    <row r="1048" spans="8:8">
      <c r="H1048" t="s">
        <v>999</v>
      </c>
    </row>
    <row r="1049" spans="8:8">
      <c r="H1049" t="s">
        <v>1000</v>
      </c>
    </row>
    <row r="1050" spans="8:8">
      <c r="H1050" t="s">
        <v>1001</v>
      </c>
    </row>
    <row r="1051" spans="8:8">
      <c r="H1051" t="s">
        <v>1002</v>
      </c>
    </row>
    <row r="1052" spans="8:8">
      <c r="H1052" t="s">
        <v>1003</v>
      </c>
    </row>
    <row r="1053" spans="8:8">
      <c r="H1053" t="s">
        <v>1004</v>
      </c>
    </row>
    <row r="1054" spans="8:8">
      <c r="H1054" t="s">
        <v>1005</v>
      </c>
    </row>
    <row r="1055" spans="8:8">
      <c r="H1055" t="s">
        <v>1006</v>
      </c>
    </row>
    <row r="1056" spans="8:8">
      <c r="H1056" t="s">
        <v>1007</v>
      </c>
    </row>
    <row r="1057" spans="8:8">
      <c r="H1057" t="s">
        <v>1008</v>
      </c>
    </row>
    <row r="1058" spans="8:8">
      <c r="H1058" t="s">
        <v>1009</v>
      </c>
    </row>
    <row r="1059" spans="8:8">
      <c r="H1059" t="s">
        <v>1010</v>
      </c>
    </row>
    <row r="1060" spans="8:8">
      <c r="H1060" t="s">
        <v>1011</v>
      </c>
    </row>
    <row r="1061" spans="8:8">
      <c r="H1061" t="s">
        <v>1012</v>
      </c>
    </row>
    <row r="1062" spans="8:8">
      <c r="H1062" t="s">
        <v>1013</v>
      </c>
    </row>
    <row r="1063" spans="8:8">
      <c r="H1063" t="s">
        <v>1014</v>
      </c>
    </row>
    <row r="1064" spans="8:8">
      <c r="H1064" t="s">
        <v>1015</v>
      </c>
    </row>
    <row r="1065" spans="8:8">
      <c r="H1065" t="s">
        <v>1016</v>
      </c>
    </row>
    <row r="1066" spans="8:8">
      <c r="H1066" t="s">
        <v>1017</v>
      </c>
    </row>
    <row r="1067" spans="8:8">
      <c r="H1067" t="s">
        <v>1018</v>
      </c>
    </row>
    <row r="1068" spans="8:8">
      <c r="H1068" t="s">
        <v>1019</v>
      </c>
    </row>
    <row r="1069" spans="8:8">
      <c r="H1069" t="s">
        <v>1020</v>
      </c>
    </row>
    <row r="1070" spans="8:8">
      <c r="H1070" t="s">
        <v>1021</v>
      </c>
    </row>
    <row r="1071" spans="8:8">
      <c r="H1071" t="s">
        <v>1022</v>
      </c>
    </row>
    <row r="1072" spans="8:8">
      <c r="H1072" t="s">
        <v>1023</v>
      </c>
    </row>
    <row r="1073" spans="8:8">
      <c r="H1073" t="s">
        <v>1024</v>
      </c>
    </row>
    <row r="1074" spans="8:8">
      <c r="H1074" t="s">
        <v>1025</v>
      </c>
    </row>
    <row r="1075" spans="8:8">
      <c r="H1075" t="s">
        <v>1026</v>
      </c>
    </row>
    <row r="1076" spans="8:8">
      <c r="H1076" t="s">
        <v>1027</v>
      </c>
    </row>
    <row r="1077" spans="8:8">
      <c r="H1077" t="s">
        <v>1028</v>
      </c>
    </row>
    <row r="1078" spans="8:8">
      <c r="H1078" t="s">
        <v>1029</v>
      </c>
    </row>
    <row r="1079" spans="8:8">
      <c r="H1079" t="s">
        <v>1030</v>
      </c>
    </row>
    <row r="1080" spans="8:8">
      <c r="H1080" t="s">
        <v>1031</v>
      </c>
    </row>
    <row r="1081" spans="8:8">
      <c r="H1081" t="s">
        <v>1032</v>
      </c>
    </row>
    <row r="1082" spans="8:8">
      <c r="H1082" t="s">
        <v>1033</v>
      </c>
    </row>
    <row r="1083" spans="8:8">
      <c r="H1083" t="s">
        <v>1034</v>
      </c>
    </row>
    <row r="1084" spans="8:8">
      <c r="H1084" t="s">
        <v>1035</v>
      </c>
    </row>
    <row r="1085" spans="8:8">
      <c r="H1085" t="s">
        <v>1036</v>
      </c>
    </row>
    <row r="1086" spans="8:8">
      <c r="H1086" t="s">
        <v>1037</v>
      </c>
    </row>
    <row r="1087" spans="8:8">
      <c r="H1087" t="s">
        <v>1038</v>
      </c>
    </row>
    <row r="1088" spans="8:8">
      <c r="H1088" t="s">
        <v>1039</v>
      </c>
    </row>
    <row r="1089" spans="8:8">
      <c r="H1089" t="s">
        <v>1040</v>
      </c>
    </row>
    <row r="1090" spans="8:8">
      <c r="H1090" t="s">
        <v>1041</v>
      </c>
    </row>
    <row r="1091" spans="8:8">
      <c r="H1091" t="s">
        <v>1042</v>
      </c>
    </row>
    <row r="1092" spans="8:8">
      <c r="H1092" t="s">
        <v>1043</v>
      </c>
    </row>
    <row r="1093" spans="8:8">
      <c r="H1093" t="s">
        <v>1044</v>
      </c>
    </row>
    <row r="1094" spans="8:8">
      <c r="H1094" t="s">
        <v>1045</v>
      </c>
    </row>
    <row r="1095" spans="8:8">
      <c r="H1095" t="s">
        <v>1046</v>
      </c>
    </row>
    <row r="1096" spans="8:8">
      <c r="H1096" t="s">
        <v>1047</v>
      </c>
    </row>
    <row r="1097" spans="8:8">
      <c r="H1097" t="s">
        <v>1048</v>
      </c>
    </row>
    <row r="1098" spans="8:8">
      <c r="H1098" t="s">
        <v>1049</v>
      </c>
    </row>
    <row r="1099" spans="8:8">
      <c r="H1099" t="s">
        <v>1050</v>
      </c>
    </row>
    <row r="1100" spans="8:8">
      <c r="H1100" t="s">
        <v>1051</v>
      </c>
    </row>
    <row r="1101" spans="8:8">
      <c r="H1101" t="s">
        <v>1052</v>
      </c>
    </row>
    <row r="1102" spans="8:8">
      <c r="H1102" t="s">
        <v>1053</v>
      </c>
    </row>
    <row r="1103" spans="8:8">
      <c r="H1103" t="s">
        <v>1054</v>
      </c>
    </row>
    <row r="1104" spans="8:8">
      <c r="H1104" t="s">
        <v>1055</v>
      </c>
    </row>
    <row r="1105" spans="8:8">
      <c r="H1105" t="s">
        <v>1056</v>
      </c>
    </row>
    <row r="1106" spans="8:8">
      <c r="H1106" t="s">
        <v>1057</v>
      </c>
    </row>
    <row r="1107" spans="8:8">
      <c r="H1107" t="s">
        <v>1058</v>
      </c>
    </row>
    <row r="1108" spans="8:8">
      <c r="H1108" t="s">
        <v>1059</v>
      </c>
    </row>
    <row r="1109" spans="8:8">
      <c r="H1109" t="s">
        <v>1060</v>
      </c>
    </row>
    <row r="1110" spans="8:8">
      <c r="H1110" t="s">
        <v>1061</v>
      </c>
    </row>
    <row r="1111" spans="8:8">
      <c r="H1111" t="s">
        <v>1062</v>
      </c>
    </row>
    <row r="1112" spans="8:8">
      <c r="H1112" t="s">
        <v>1063</v>
      </c>
    </row>
    <row r="1113" spans="8:8">
      <c r="H1113" t="s">
        <v>1064</v>
      </c>
    </row>
    <row r="1114" spans="8:8">
      <c r="H1114" t="s">
        <v>1065</v>
      </c>
    </row>
    <row r="1115" spans="8:8">
      <c r="H1115" t="s">
        <v>1066</v>
      </c>
    </row>
    <row r="1116" spans="8:8">
      <c r="H1116" t="s">
        <v>1067</v>
      </c>
    </row>
    <row r="1117" spans="8:8">
      <c r="H1117" t="s">
        <v>1068</v>
      </c>
    </row>
    <row r="1118" spans="8:8">
      <c r="H1118" t="s">
        <v>1069</v>
      </c>
    </row>
    <row r="1119" spans="8:8">
      <c r="H1119" t="s">
        <v>1070</v>
      </c>
    </row>
    <row r="1120" spans="8:8">
      <c r="H1120" t="s">
        <v>1071</v>
      </c>
    </row>
    <row r="1121" spans="8:8">
      <c r="H1121" t="s">
        <v>1072</v>
      </c>
    </row>
    <row r="1122" spans="8:8">
      <c r="H1122" t="s">
        <v>1073</v>
      </c>
    </row>
    <row r="1123" spans="8:8">
      <c r="H1123" t="s">
        <v>1074</v>
      </c>
    </row>
    <row r="1124" spans="8:8">
      <c r="H1124" t="s">
        <v>1075</v>
      </c>
    </row>
    <row r="1125" spans="8:8">
      <c r="H1125" t="s">
        <v>1076</v>
      </c>
    </row>
    <row r="1126" spans="8:8">
      <c r="H1126" t="s">
        <v>1077</v>
      </c>
    </row>
    <row r="1127" spans="8:8">
      <c r="H1127" t="s">
        <v>1078</v>
      </c>
    </row>
    <row r="1128" spans="8:8">
      <c r="H1128" t="s">
        <v>1079</v>
      </c>
    </row>
    <row r="1129" spans="8:8">
      <c r="H1129" t="s">
        <v>1080</v>
      </c>
    </row>
    <row r="1130" spans="8:8">
      <c r="H1130" t="s">
        <v>1081</v>
      </c>
    </row>
    <row r="1131" spans="8:8">
      <c r="H1131" t="s">
        <v>1082</v>
      </c>
    </row>
    <row r="1132" spans="8:8">
      <c r="H1132" t="s">
        <v>1083</v>
      </c>
    </row>
    <row r="1133" spans="8:8">
      <c r="H1133" t="s">
        <v>1084</v>
      </c>
    </row>
    <row r="1134" spans="8:8">
      <c r="H1134" t="s">
        <v>1085</v>
      </c>
    </row>
    <row r="1135" spans="8:8">
      <c r="H1135" t="s">
        <v>1086</v>
      </c>
    </row>
    <row r="1136" spans="8:8">
      <c r="H1136" t="s">
        <v>1087</v>
      </c>
    </row>
    <row r="1137" spans="8:8">
      <c r="H1137" t="s">
        <v>1088</v>
      </c>
    </row>
    <row r="1138" spans="8:8">
      <c r="H1138" t="s">
        <v>1089</v>
      </c>
    </row>
    <row r="1139" spans="8:8">
      <c r="H1139" t="s">
        <v>1090</v>
      </c>
    </row>
    <row r="1140" spans="8:8">
      <c r="H1140" t="s">
        <v>1091</v>
      </c>
    </row>
    <row r="1141" spans="8:8">
      <c r="H1141" t="s">
        <v>1092</v>
      </c>
    </row>
    <row r="1142" spans="8:8">
      <c r="H1142" t="s">
        <v>1093</v>
      </c>
    </row>
    <row r="1143" spans="8:8">
      <c r="H1143" t="s">
        <v>1094</v>
      </c>
    </row>
    <row r="1144" spans="8:8">
      <c r="H1144" t="s">
        <v>1095</v>
      </c>
    </row>
    <row r="1145" spans="8:8">
      <c r="H1145" t="s">
        <v>1096</v>
      </c>
    </row>
    <row r="1146" spans="8:8">
      <c r="H1146" t="s">
        <v>1097</v>
      </c>
    </row>
    <row r="1147" spans="8:8">
      <c r="H1147" t="s">
        <v>1098</v>
      </c>
    </row>
    <row r="1148" spans="8:8">
      <c r="H1148" t="s">
        <v>1099</v>
      </c>
    </row>
    <row r="1149" spans="8:8">
      <c r="H1149" t="s">
        <v>1100</v>
      </c>
    </row>
    <row r="1150" spans="8:8">
      <c r="H1150" t="s">
        <v>1101</v>
      </c>
    </row>
    <row r="1151" spans="8:8">
      <c r="H1151" t="s">
        <v>1102</v>
      </c>
    </row>
    <row r="1152" spans="8:8">
      <c r="H1152" t="s">
        <v>1103</v>
      </c>
    </row>
    <row r="1153" spans="8:8">
      <c r="H1153" t="s">
        <v>1104</v>
      </c>
    </row>
    <row r="1154" spans="8:8">
      <c r="H1154" t="s">
        <v>1105</v>
      </c>
    </row>
    <row r="1155" spans="8:8">
      <c r="H1155" t="s">
        <v>1106</v>
      </c>
    </row>
    <row r="1156" spans="8:8">
      <c r="H1156" t="s">
        <v>1107</v>
      </c>
    </row>
    <row r="1157" spans="8:8">
      <c r="H1157" t="s">
        <v>1108</v>
      </c>
    </row>
    <row r="1158" spans="8:8">
      <c r="H1158" t="s">
        <v>1109</v>
      </c>
    </row>
    <row r="1159" spans="8:8">
      <c r="H1159" t="s">
        <v>1110</v>
      </c>
    </row>
    <row r="1160" spans="8:8">
      <c r="H1160" t="s">
        <v>1111</v>
      </c>
    </row>
    <row r="1161" spans="8:8">
      <c r="H1161" t="s">
        <v>1112</v>
      </c>
    </row>
    <row r="1162" spans="8:8">
      <c r="H1162" t="s">
        <v>1113</v>
      </c>
    </row>
    <row r="1163" spans="8:8">
      <c r="H1163" t="s">
        <v>1114</v>
      </c>
    </row>
    <row r="1164" spans="8:8">
      <c r="H1164" t="s">
        <v>1115</v>
      </c>
    </row>
    <row r="1165" spans="8:8">
      <c r="H1165" t="s">
        <v>1116</v>
      </c>
    </row>
    <row r="1166" spans="8:8">
      <c r="H1166" t="s">
        <v>1117</v>
      </c>
    </row>
    <row r="1167" spans="8:8">
      <c r="H1167" t="s">
        <v>1118</v>
      </c>
    </row>
    <row r="1168" spans="8:8">
      <c r="H1168" t="s">
        <v>1119</v>
      </c>
    </row>
    <row r="1169" spans="8:8">
      <c r="H1169" t="s">
        <v>1120</v>
      </c>
    </row>
    <row r="1170" spans="8:8">
      <c r="H1170" t="s">
        <v>1121</v>
      </c>
    </row>
    <row r="1171" spans="8:8">
      <c r="H1171" t="s">
        <v>1122</v>
      </c>
    </row>
    <row r="1172" spans="8:8">
      <c r="H1172" t="s">
        <v>1123</v>
      </c>
    </row>
    <row r="1173" spans="8:8">
      <c r="H1173" t="s">
        <v>1124</v>
      </c>
    </row>
    <row r="1174" spans="8:8">
      <c r="H1174" t="s">
        <v>1125</v>
      </c>
    </row>
    <row r="1175" spans="8:8">
      <c r="H1175" t="s">
        <v>1126</v>
      </c>
    </row>
    <row r="1176" spans="8:8">
      <c r="H1176" t="s">
        <v>1127</v>
      </c>
    </row>
    <row r="1177" spans="8:8">
      <c r="H1177" t="s">
        <v>1128</v>
      </c>
    </row>
    <row r="1178" spans="8:8">
      <c r="H1178" t="s">
        <v>1129</v>
      </c>
    </row>
    <row r="1179" spans="8:8">
      <c r="H1179" t="s">
        <v>1130</v>
      </c>
    </row>
    <row r="1180" spans="8:8">
      <c r="H1180" t="s">
        <v>1131</v>
      </c>
    </row>
    <row r="1181" spans="8:8">
      <c r="H1181" t="s">
        <v>1132</v>
      </c>
    </row>
    <row r="1182" spans="8:8">
      <c r="H1182" t="s">
        <v>1133</v>
      </c>
    </row>
    <row r="1183" spans="8:8">
      <c r="H1183" t="s">
        <v>1134</v>
      </c>
    </row>
    <row r="1184" spans="8:8">
      <c r="H1184" t="s">
        <v>1135</v>
      </c>
    </row>
    <row r="1185" spans="8:8">
      <c r="H1185" t="s">
        <v>1136</v>
      </c>
    </row>
    <row r="1186" spans="8:8">
      <c r="H1186" t="s">
        <v>1137</v>
      </c>
    </row>
    <row r="1187" spans="8:8">
      <c r="H1187" t="s">
        <v>1138</v>
      </c>
    </row>
    <row r="1188" spans="8:8">
      <c r="H1188" t="s">
        <v>1139</v>
      </c>
    </row>
    <row r="1189" spans="8:8">
      <c r="H1189" t="s">
        <v>1140</v>
      </c>
    </row>
    <row r="1190" spans="8:8">
      <c r="H1190" t="s">
        <v>1141</v>
      </c>
    </row>
    <row r="1191" spans="8:8">
      <c r="H1191" t="s">
        <v>1142</v>
      </c>
    </row>
    <row r="1192" spans="8:8">
      <c r="H1192" t="s">
        <v>1143</v>
      </c>
    </row>
    <row r="1193" spans="8:8">
      <c r="H1193" t="s">
        <v>1144</v>
      </c>
    </row>
    <row r="1194" spans="8:8">
      <c r="H1194" t="s">
        <v>1145</v>
      </c>
    </row>
    <row r="1195" spans="8:8">
      <c r="H1195" t="s">
        <v>1146</v>
      </c>
    </row>
    <row r="1196" spans="8:8">
      <c r="H1196" t="s">
        <v>1147</v>
      </c>
    </row>
    <row r="1197" spans="8:8">
      <c r="H1197" t="s">
        <v>1148</v>
      </c>
    </row>
    <row r="1198" spans="8:8">
      <c r="H1198" t="s">
        <v>1149</v>
      </c>
    </row>
    <row r="1199" spans="8:8">
      <c r="H1199" t="s">
        <v>1150</v>
      </c>
    </row>
    <row r="1200" spans="8:8">
      <c r="H1200" t="s">
        <v>1151</v>
      </c>
    </row>
    <row r="1201" spans="8:8">
      <c r="H1201" t="s">
        <v>1152</v>
      </c>
    </row>
    <row r="1202" spans="8:8">
      <c r="H1202" t="s">
        <v>1153</v>
      </c>
    </row>
    <row r="1203" spans="8:8">
      <c r="H1203" t="s">
        <v>1154</v>
      </c>
    </row>
    <row r="1204" spans="8:8">
      <c r="H1204" t="s">
        <v>1155</v>
      </c>
    </row>
    <row r="1205" spans="8:8">
      <c r="H1205" t="s">
        <v>1156</v>
      </c>
    </row>
    <row r="1206" spans="8:8">
      <c r="H1206" t="s">
        <v>1157</v>
      </c>
    </row>
    <row r="1207" spans="8:8">
      <c r="H1207" t="s">
        <v>1158</v>
      </c>
    </row>
    <row r="1208" spans="8:8">
      <c r="H1208" t="s">
        <v>1159</v>
      </c>
    </row>
    <row r="1209" spans="8:8">
      <c r="H1209" t="s">
        <v>1160</v>
      </c>
    </row>
    <row r="1210" spans="8:8">
      <c r="H1210" t="s">
        <v>1161</v>
      </c>
    </row>
    <row r="1211" spans="8:8">
      <c r="H1211" t="s">
        <v>1162</v>
      </c>
    </row>
    <row r="1212" spans="8:8">
      <c r="H1212" t="s">
        <v>1163</v>
      </c>
    </row>
    <row r="1213" spans="8:8">
      <c r="H1213" t="s">
        <v>1164</v>
      </c>
    </row>
    <row r="1214" spans="8:8">
      <c r="H1214" t="s">
        <v>1165</v>
      </c>
    </row>
    <row r="1215" spans="8:8">
      <c r="H1215" t="s">
        <v>1166</v>
      </c>
    </row>
    <row r="1216" spans="8:8">
      <c r="H1216" t="s">
        <v>1167</v>
      </c>
    </row>
    <row r="1217" spans="8:8">
      <c r="H1217" t="s">
        <v>1168</v>
      </c>
    </row>
    <row r="1218" spans="8:8">
      <c r="H1218" t="s">
        <v>1169</v>
      </c>
    </row>
    <row r="1219" spans="8:8">
      <c r="H1219" t="s">
        <v>1170</v>
      </c>
    </row>
    <row r="1220" spans="8:8">
      <c r="H1220" t="s">
        <v>1171</v>
      </c>
    </row>
    <row r="1221" spans="8:8">
      <c r="H1221" t="s">
        <v>1172</v>
      </c>
    </row>
    <row r="1222" spans="8:8">
      <c r="H1222" t="s">
        <v>1173</v>
      </c>
    </row>
    <row r="1223" spans="8:8">
      <c r="H1223" t="s">
        <v>1174</v>
      </c>
    </row>
    <row r="1224" spans="8:8">
      <c r="H1224" t="s">
        <v>1175</v>
      </c>
    </row>
    <row r="1225" spans="8:8">
      <c r="H1225" t="s">
        <v>1176</v>
      </c>
    </row>
    <row r="1226" spans="8:8">
      <c r="H1226" t="s">
        <v>1177</v>
      </c>
    </row>
    <row r="1227" spans="8:8">
      <c r="H1227" t="s">
        <v>1178</v>
      </c>
    </row>
    <row r="1228" spans="8:8">
      <c r="H1228" t="s">
        <v>1179</v>
      </c>
    </row>
    <row r="1229" spans="8:8">
      <c r="H1229" t="s">
        <v>1180</v>
      </c>
    </row>
    <row r="1230" spans="8:8">
      <c r="H1230" t="s">
        <v>1181</v>
      </c>
    </row>
    <row r="1231" spans="8:8">
      <c r="H1231" t="s">
        <v>1182</v>
      </c>
    </row>
    <row r="1232" spans="8:8">
      <c r="H1232" t="s">
        <v>1183</v>
      </c>
    </row>
    <row r="1233" spans="8:8">
      <c r="H1233" t="s">
        <v>1184</v>
      </c>
    </row>
    <row r="1234" spans="8:8">
      <c r="H1234" t="s">
        <v>1185</v>
      </c>
    </row>
    <row r="1235" spans="8:8">
      <c r="H1235" t="s">
        <v>1186</v>
      </c>
    </row>
    <row r="1236" spans="8:8">
      <c r="H1236" t="s">
        <v>1187</v>
      </c>
    </row>
    <row r="1237" spans="8:8">
      <c r="H1237" t="s">
        <v>1188</v>
      </c>
    </row>
    <row r="1238" spans="8:8">
      <c r="H1238" t="s">
        <v>1189</v>
      </c>
    </row>
    <row r="1239" spans="8:8">
      <c r="H1239" t="s">
        <v>1190</v>
      </c>
    </row>
    <row r="1240" spans="8:8">
      <c r="H1240" t="s">
        <v>1191</v>
      </c>
    </row>
    <row r="1241" spans="8:8">
      <c r="H1241" t="s">
        <v>1192</v>
      </c>
    </row>
    <row r="1242" spans="8:8">
      <c r="H1242" t="s">
        <v>1193</v>
      </c>
    </row>
    <row r="1243" spans="8:8">
      <c r="H1243" t="s">
        <v>1194</v>
      </c>
    </row>
    <row r="1244" spans="8:8">
      <c r="H1244" t="s">
        <v>1195</v>
      </c>
    </row>
    <row r="1245" spans="8:8">
      <c r="H1245" t="s">
        <v>1196</v>
      </c>
    </row>
    <row r="1246" spans="8:8">
      <c r="H1246" t="s">
        <v>1197</v>
      </c>
    </row>
    <row r="1247" spans="8:8">
      <c r="H1247" t="s">
        <v>1198</v>
      </c>
    </row>
    <row r="1248" spans="8:8">
      <c r="H1248" t="s">
        <v>1199</v>
      </c>
    </row>
    <row r="1249" spans="8:8">
      <c r="H1249" t="s">
        <v>1200</v>
      </c>
    </row>
    <row r="1250" spans="8:8">
      <c r="H1250" t="s">
        <v>1201</v>
      </c>
    </row>
    <row r="1251" spans="8:8">
      <c r="H1251" t="s">
        <v>1202</v>
      </c>
    </row>
    <row r="1252" spans="8:8">
      <c r="H1252" t="s">
        <v>1203</v>
      </c>
    </row>
    <row r="1253" spans="8:8">
      <c r="H1253" t="s">
        <v>1204</v>
      </c>
    </row>
    <row r="1254" spans="8:8">
      <c r="H1254" t="s">
        <v>1205</v>
      </c>
    </row>
    <row r="1255" spans="8:8">
      <c r="H1255" t="s">
        <v>1206</v>
      </c>
    </row>
    <row r="1256" spans="8:8">
      <c r="H1256" t="s">
        <v>1207</v>
      </c>
    </row>
    <row r="1257" spans="8:8">
      <c r="H1257" t="s">
        <v>1208</v>
      </c>
    </row>
    <row r="1258" spans="8:8">
      <c r="H1258" t="s">
        <v>1209</v>
      </c>
    </row>
    <row r="1259" spans="8:8">
      <c r="H1259" t="s">
        <v>1210</v>
      </c>
    </row>
    <row r="1260" spans="8:8">
      <c r="H1260" t="s">
        <v>1211</v>
      </c>
    </row>
    <row r="1261" spans="8:8">
      <c r="H1261" t="s">
        <v>1212</v>
      </c>
    </row>
    <row r="1262" spans="8:8">
      <c r="H1262" t="s">
        <v>1213</v>
      </c>
    </row>
    <row r="1263" spans="8:8">
      <c r="H1263" t="s">
        <v>1214</v>
      </c>
    </row>
    <row r="1264" spans="8:8">
      <c r="H1264" t="s">
        <v>1215</v>
      </c>
    </row>
    <row r="1265" spans="8:8">
      <c r="H1265" t="s">
        <v>1216</v>
      </c>
    </row>
    <row r="1266" spans="8:8">
      <c r="H1266" t="s">
        <v>1217</v>
      </c>
    </row>
    <row r="1267" spans="8:8">
      <c r="H1267" t="s">
        <v>1218</v>
      </c>
    </row>
    <row r="1268" spans="8:8">
      <c r="H1268" t="s">
        <v>1219</v>
      </c>
    </row>
    <row r="1269" spans="8:8">
      <c r="H1269" t="s">
        <v>1220</v>
      </c>
    </row>
    <row r="1270" spans="8:8">
      <c r="H1270" t="s">
        <v>1221</v>
      </c>
    </row>
    <row r="1271" spans="8:8">
      <c r="H1271" t="s">
        <v>1222</v>
      </c>
    </row>
    <row r="1272" spans="8:8">
      <c r="H1272" t="s">
        <v>1223</v>
      </c>
    </row>
    <row r="1273" spans="8:8">
      <c r="H1273" t="s">
        <v>1224</v>
      </c>
    </row>
    <row r="1274" spans="8:8">
      <c r="H1274" t="s">
        <v>1225</v>
      </c>
    </row>
    <row r="1275" spans="8:8">
      <c r="H1275" t="s">
        <v>1226</v>
      </c>
    </row>
    <row r="1276" spans="8:8">
      <c r="H1276" t="s">
        <v>1227</v>
      </c>
    </row>
    <row r="1277" spans="8:8">
      <c r="H1277" t="s">
        <v>1228</v>
      </c>
    </row>
    <row r="1278" spans="8:8">
      <c r="H1278" t="s">
        <v>1229</v>
      </c>
    </row>
    <row r="1279" spans="8:8">
      <c r="H1279" t="s">
        <v>1230</v>
      </c>
    </row>
    <row r="1280" spans="8:8">
      <c r="H1280" t="s">
        <v>1231</v>
      </c>
    </row>
    <row r="1281" spans="8:8">
      <c r="H1281" t="s">
        <v>1232</v>
      </c>
    </row>
    <row r="1282" spans="8:8">
      <c r="H1282" t="s">
        <v>1233</v>
      </c>
    </row>
    <row r="1283" spans="8:8">
      <c r="H1283" t="s">
        <v>1234</v>
      </c>
    </row>
    <row r="1284" spans="8:8">
      <c r="H1284" t="s">
        <v>1235</v>
      </c>
    </row>
    <row r="1285" spans="8:8">
      <c r="H1285" t="s">
        <v>1236</v>
      </c>
    </row>
    <row r="1286" spans="8:8">
      <c r="H1286" t="s">
        <v>1237</v>
      </c>
    </row>
    <row r="1287" spans="8:8">
      <c r="H1287" t="s">
        <v>1238</v>
      </c>
    </row>
    <row r="1288" spans="8:8">
      <c r="H1288" t="s">
        <v>1239</v>
      </c>
    </row>
    <row r="1289" spans="8:8">
      <c r="H1289" t="s">
        <v>1240</v>
      </c>
    </row>
    <row r="1290" spans="8:8">
      <c r="H1290" t="s">
        <v>1241</v>
      </c>
    </row>
    <row r="1291" spans="8:8">
      <c r="H1291" t="s">
        <v>1242</v>
      </c>
    </row>
    <row r="1292" spans="8:8">
      <c r="H1292" t="s">
        <v>1243</v>
      </c>
    </row>
    <row r="1293" spans="8:8">
      <c r="H1293" t="s">
        <v>1244</v>
      </c>
    </row>
    <row r="1294" spans="8:8">
      <c r="H1294" t="s">
        <v>1245</v>
      </c>
    </row>
    <row r="1295" spans="8:8">
      <c r="H1295" t="s">
        <v>1246</v>
      </c>
    </row>
    <row r="1296" spans="8:8">
      <c r="H1296" t="s">
        <v>1247</v>
      </c>
    </row>
    <row r="1297" spans="8:8">
      <c r="H1297" t="s">
        <v>1248</v>
      </c>
    </row>
    <row r="1298" spans="8:8">
      <c r="H1298" t="s">
        <v>1249</v>
      </c>
    </row>
    <row r="1299" spans="8:8">
      <c r="H1299" t="s">
        <v>1250</v>
      </c>
    </row>
    <row r="1300" spans="8:8">
      <c r="H1300" t="s">
        <v>1251</v>
      </c>
    </row>
    <row r="1301" spans="8:8">
      <c r="H1301" t="s">
        <v>1252</v>
      </c>
    </row>
    <row r="1302" spans="8:8">
      <c r="H1302" t="s">
        <v>1253</v>
      </c>
    </row>
    <row r="1303" spans="8:8">
      <c r="H1303" t="s">
        <v>1254</v>
      </c>
    </row>
    <row r="1304" spans="8:8">
      <c r="H1304" t="s">
        <v>1255</v>
      </c>
    </row>
    <row r="1305" spans="8:8">
      <c r="H1305" t="s">
        <v>1256</v>
      </c>
    </row>
    <row r="1306" spans="8:8">
      <c r="H1306" t="s">
        <v>1257</v>
      </c>
    </row>
    <row r="1307" spans="8:8">
      <c r="H1307" t="s">
        <v>1258</v>
      </c>
    </row>
    <row r="1308" spans="8:8">
      <c r="H1308" t="s">
        <v>1259</v>
      </c>
    </row>
    <row r="1309" spans="8:8">
      <c r="H1309" t="s">
        <v>1260</v>
      </c>
    </row>
    <row r="1310" spans="8:8">
      <c r="H1310" t="s">
        <v>1261</v>
      </c>
    </row>
    <row r="1311" spans="8:8">
      <c r="H1311" t="s">
        <v>1262</v>
      </c>
    </row>
    <row r="1312" spans="8:8">
      <c r="H1312" t="s">
        <v>1263</v>
      </c>
    </row>
    <row r="1313" spans="8:8">
      <c r="H1313" t="s">
        <v>1264</v>
      </c>
    </row>
    <row r="1314" spans="8:8">
      <c r="H1314" t="s">
        <v>1265</v>
      </c>
    </row>
    <row r="1315" spans="8:8">
      <c r="H1315" t="s">
        <v>1266</v>
      </c>
    </row>
    <row r="1316" spans="8:8">
      <c r="H1316" t="s">
        <v>1267</v>
      </c>
    </row>
    <row r="1317" spans="8:8">
      <c r="H1317" t="s">
        <v>1268</v>
      </c>
    </row>
    <row r="1318" spans="8:8">
      <c r="H1318" t="s">
        <v>1269</v>
      </c>
    </row>
    <row r="1319" spans="8:8">
      <c r="H1319" t="s">
        <v>1270</v>
      </c>
    </row>
    <row r="1320" spans="8:8">
      <c r="H1320" t="s">
        <v>1271</v>
      </c>
    </row>
    <row r="1321" spans="8:8">
      <c r="H1321" t="s">
        <v>1272</v>
      </c>
    </row>
    <row r="1322" spans="8:8">
      <c r="H1322" t="s">
        <v>1273</v>
      </c>
    </row>
    <row r="1323" spans="8:8">
      <c r="H1323" t="s">
        <v>1274</v>
      </c>
    </row>
    <row r="1324" spans="8:8">
      <c r="H1324" t="s">
        <v>1275</v>
      </c>
    </row>
    <row r="1325" spans="8:8">
      <c r="H1325" t="s">
        <v>1276</v>
      </c>
    </row>
    <row r="1326" spans="8:8">
      <c r="H1326" t="s">
        <v>1277</v>
      </c>
    </row>
    <row r="1327" spans="8:8">
      <c r="H1327" t="s">
        <v>1278</v>
      </c>
    </row>
    <row r="1328" spans="8:8">
      <c r="H1328" t="s">
        <v>1279</v>
      </c>
    </row>
    <row r="1329" spans="8:8">
      <c r="H1329" t="s">
        <v>1280</v>
      </c>
    </row>
    <row r="1330" spans="8:8">
      <c r="H1330" t="s">
        <v>1281</v>
      </c>
    </row>
    <row r="1331" spans="8:8">
      <c r="H1331" t="s">
        <v>1282</v>
      </c>
    </row>
    <row r="1332" spans="8:8">
      <c r="H1332" t="s">
        <v>1283</v>
      </c>
    </row>
    <row r="1333" spans="8:8">
      <c r="H1333" t="s">
        <v>1284</v>
      </c>
    </row>
    <row r="1334" spans="8:8">
      <c r="H1334" t="s">
        <v>1285</v>
      </c>
    </row>
    <row r="1335" spans="8:8">
      <c r="H1335" t="s">
        <v>1286</v>
      </c>
    </row>
    <row r="1336" spans="8:8">
      <c r="H1336" t="s">
        <v>1287</v>
      </c>
    </row>
    <row r="1337" spans="8:8">
      <c r="H1337" t="s">
        <v>1288</v>
      </c>
    </row>
    <row r="1338" spans="8:8">
      <c r="H1338" t="s">
        <v>1289</v>
      </c>
    </row>
    <row r="1339" spans="8:8">
      <c r="H1339" t="s">
        <v>1290</v>
      </c>
    </row>
    <row r="1340" spans="8:8">
      <c r="H1340" t="s">
        <v>1291</v>
      </c>
    </row>
    <row r="1341" spans="8:8">
      <c r="H1341" t="s">
        <v>1292</v>
      </c>
    </row>
    <row r="1342" spans="8:8">
      <c r="H1342" t="s">
        <v>1293</v>
      </c>
    </row>
    <row r="1343" spans="8:8">
      <c r="H1343" t="s">
        <v>1294</v>
      </c>
    </row>
    <row r="1344" spans="8:8">
      <c r="H1344" t="s">
        <v>1295</v>
      </c>
    </row>
    <row r="1345" spans="8:8">
      <c r="H1345" t="s">
        <v>1296</v>
      </c>
    </row>
    <row r="1346" spans="8:8">
      <c r="H1346" t="s">
        <v>1297</v>
      </c>
    </row>
    <row r="1347" spans="8:8">
      <c r="H1347" t="s">
        <v>1298</v>
      </c>
    </row>
    <row r="1348" spans="8:8">
      <c r="H1348" t="s">
        <v>1299</v>
      </c>
    </row>
    <row r="1349" spans="8:8">
      <c r="H1349" t="s">
        <v>1300</v>
      </c>
    </row>
    <row r="1350" spans="8:8">
      <c r="H1350" t="s">
        <v>1301</v>
      </c>
    </row>
    <row r="1351" spans="8:8">
      <c r="H1351" t="s">
        <v>1302</v>
      </c>
    </row>
    <row r="1352" spans="8:8">
      <c r="H1352" t="s">
        <v>1303</v>
      </c>
    </row>
    <row r="1353" spans="8:8">
      <c r="H1353" t="s">
        <v>1304</v>
      </c>
    </row>
    <row r="1354" spans="8:8">
      <c r="H1354" t="s">
        <v>1305</v>
      </c>
    </row>
    <row r="1355" spans="8:8">
      <c r="H1355" t="s">
        <v>1306</v>
      </c>
    </row>
    <row r="1356" spans="8:8">
      <c r="H1356" t="s">
        <v>1307</v>
      </c>
    </row>
    <row r="1357" spans="8:8">
      <c r="H1357" t="s">
        <v>1308</v>
      </c>
    </row>
    <row r="1358" spans="8:8">
      <c r="H1358" t="s">
        <v>1309</v>
      </c>
    </row>
    <row r="1359" spans="8:8">
      <c r="H1359" t="s">
        <v>1310</v>
      </c>
    </row>
    <row r="1360" spans="8:8">
      <c r="H1360" t="s">
        <v>1311</v>
      </c>
    </row>
    <row r="1361" spans="8:8">
      <c r="H1361" t="s">
        <v>1312</v>
      </c>
    </row>
    <row r="1362" spans="8:8">
      <c r="H1362" t="s">
        <v>1313</v>
      </c>
    </row>
    <row r="1363" spans="8:8">
      <c r="H1363" t="s">
        <v>1314</v>
      </c>
    </row>
    <row r="1364" spans="8:8">
      <c r="H1364" t="s">
        <v>1315</v>
      </c>
    </row>
    <row r="1365" spans="8:8">
      <c r="H1365" t="s">
        <v>1316</v>
      </c>
    </row>
    <row r="1366" spans="8:8">
      <c r="H1366" t="s">
        <v>1317</v>
      </c>
    </row>
    <row r="1367" spans="8:8">
      <c r="H1367" t="s">
        <v>1318</v>
      </c>
    </row>
    <row r="1368" spans="8:8">
      <c r="H1368" t="s">
        <v>1319</v>
      </c>
    </row>
    <row r="1369" spans="8:8">
      <c r="H1369" t="s">
        <v>1320</v>
      </c>
    </row>
    <row r="1370" spans="8:8">
      <c r="H1370" t="s">
        <v>1321</v>
      </c>
    </row>
    <row r="1371" spans="8:8">
      <c r="H1371" t="s">
        <v>1322</v>
      </c>
    </row>
    <row r="1372" spans="8:8">
      <c r="H1372" t="s">
        <v>1323</v>
      </c>
    </row>
    <row r="1373" spans="8:8">
      <c r="H1373" t="s">
        <v>1324</v>
      </c>
    </row>
    <row r="1374" spans="8:8">
      <c r="H1374" t="s">
        <v>1325</v>
      </c>
    </row>
    <row r="1375" spans="8:8">
      <c r="H1375" t="s">
        <v>1326</v>
      </c>
    </row>
    <row r="1376" spans="8:8">
      <c r="H1376" t="s">
        <v>1327</v>
      </c>
    </row>
    <row r="1377" spans="8:8">
      <c r="H1377" t="s">
        <v>1328</v>
      </c>
    </row>
    <row r="1378" spans="8:8">
      <c r="H1378" t="s">
        <v>1329</v>
      </c>
    </row>
    <row r="1379" spans="8:8">
      <c r="H1379" t="s">
        <v>1330</v>
      </c>
    </row>
    <row r="1380" spans="8:8">
      <c r="H1380" t="s">
        <v>1331</v>
      </c>
    </row>
    <row r="1381" spans="8:8">
      <c r="H1381" t="s">
        <v>1332</v>
      </c>
    </row>
    <row r="1382" spans="8:8">
      <c r="H1382" t="s">
        <v>1333</v>
      </c>
    </row>
    <row r="1383" spans="8:8">
      <c r="H1383" t="s">
        <v>1334</v>
      </c>
    </row>
    <row r="1384" spans="8:8">
      <c r="H1384" t="s">
        <v>1335</v>
      </c>
    </row>
    <row r="1385" spans="8:8">
      <c r="H1385" t="s">
        <v>1336</v>
      </c>
    </row>
    <row r="1386" spans="8:8">
      <c r="H1386" t="s">
        <v>1337</v>
      </c>
    </row>
    <row r="1387" spans="8:8">
      <c r="H1387" t="s">
        <v>1338</v>
      </c>
    </row>
    <row r="1388" spans="8:8">
      <c r="H1388" t="s">
        <v>1339</v>
      </c>
    </row>
    <row r="1389" spans="8:8">
      <c r="H1389" t="s">
        <v>1340</v>
      </c>
    </row>
    <row r="1390" spans="8:8">
      <c r="H1390" t="s">
        <v>1341</v>
      </c>
    </row>
    <row r="1391" spans="8:8">
      <c r="H1391" t="s">
        <v>1342</v>
      </c>
    </row>
    <row r="1392" spans="8:8">
      <c r="H1392" t="s">
        <v>1343</v>
      </c>
    </row>
    <row r="1393" spans="8:8">
      <c r="H1393" t="s">
        <v>1344</v>
      </c>
    </row>
    <row r="1394" spans="8:8">
      <c r="H1394" t="s">
        <v>1345</v>
      </c>
    </row>
    <row r="1395" spans="8:8">
      <c r="H1395" t="s">
        <v>1346</v>
      </c>
    </row>
    <row r="1396" spans="8:8">
      <c r="H1396" t="s">
        <v>1347</v>
      </c>
    </row>
    <row r="1397" spans="8:8">
      <c r="H1397" t="s">
        <v>1348</v>
      </c>
    </row>
    <row r="1398" spans="8:8">
      <c r="H1398" t="s">
        <v>1349</v>
      </c>
    </row>
    <row r="1399" spans="8:8">
      <c r="H1399" t="s">
        <v>1350</v>
      </c>
    </row>
    <row r="1400" spans="8:8">
      <c r="H1400" t="s">
        <v>1351</v>
      </c>
    </row>
    <row r="1401" spans="8:8">
      <c r="H1401" t="s">
        <v>1352</v>
      </c>
    </row>
    <row r="1402" spans="8:8">
      <c r="H1402" t="s">
        <v>1353</v>
      </c>
    </row>
    <row r="1403" spans="8:8">
      <c r="H1403" t="s">
        <v>1354</v>
      </c>
    </row>
    <row r="1404" spans="8:8">
      <c r="H1404" t="s">
        <v>1355</v>
      </c>
    </row>
    <row r="1405" spans="8:8">
      <c r="H1405" t="s">
        <v>1356</v>
      </c>
    </row>
    <row r="1406" spans="8:8">
      <c r="H1406" t="s">
        <v>1357</v>
      </c>
    </row>
    <row r="1407" spans="8:8">
      <c r="H1407" t="s">
        <v>1358</v>
      </c>
    </row>
    <row r="1408" spans="8:8">
      <c r="H1408" t="s">
        <v>1359</v>
      </c>
    </row>
    <row r="1409" spans="8:8">
      <c r="H1409" t="s">
        <v>1360</v>
      </c>
    </row>
    <row r="1410" spans="8:8">
      <c r="H1410" t="s">
        <v>1361</v>
      </c>
    </row>
    <row r="1411" spans="8:8">
      <c r="H1411" t="s">
        <v>1362</v>
      </c>
    </row>
    <row r="1412" spans="8:8">
      <c r="H1412" t="s">
        <v>1363</v>
      </c>
    </row>
    <row r="1413" spans="8:8">
      <c r="H1413" t="s">
        <v>1364</v>
      </c>
    </row>
    <row r="1414" spans="8:8">
      <c r="H1414" t="s">
        <v>1365</v>
      </c>
    </row>
    <row r="1415" spans="8:8">
      <c r="H1415" t="s">
        <v>1366</v>
      </c>
    </row>
    <row r="1416" spans="8:8">
      <c r="H1416" t="s">
        <v>1367</v>
      </c>
    </row>
    <row r="1417" spans="8:8">
      <c r="H1417" t="s">
        <v>1368</v>
      </c>
    </row>
    <row r="1418" spans="8:8">
      <c r="H1418" t="s">
        <v>1369</v>
      </c>
    </row>
    <row r="1419" spans="8:8">
      <c r="H1419" t="s">
        <v>1370</v>
      </c>
    </row>
    <row r="1420" spans="8:8">
      <c r="H1420" t="s">
        <v>1371</v>
      </c>
    </row>
    <row r="1421" spans="8:8">
      <c r="H1421" t="s">
        <v>1372</v>
      </c>
    </row>
    <row r="1422" spans="8:8">
      <c r="H1422" t="s">
        <v>1373</v>
      </c>
    </row>
    <row r="1423" spans="8:8">
      <c r="H1423" t="s">
        <v>1374</v>
      </c>
    </row>
    <row r="1424" spans="8:8">
      <c r="H1424" t="s">
        <v>1375</v>
      </c>
    </row>
    <row r="1425" spans="8:8">
      <c r="H1425" t="s">
        <v>1376</v>
      </c>
    </row>
    <row r="1426" spans="8:8">
      <c r="H1426" t="s">
        <v>1377</v>
      </c>
    </row>
    <row r="1427" spans="8:8">
      <c r="H1427" t="s">
        <v>1378</v>
      </c>
    </row>
    <row r="1428" spans="8:8">
      <c r="H1428" t="s">
        <v>1379</v>
      </c>
    </row>
    <row r="1429" spans="8:8">
      <c r="H1429" t="s">
        <v>1380</v>
      </c>
    </row>
    <row r="1430" spans="8:8">
      <c r="H1430" t="s">
        <v>1381</v>
      </c>
    </row>
    <row r="1431" spans="8:8">
      <c r="H1431" t="s">
        <v>1382</v>
      </c>
    </row>
    <row r="1432" spans="8:8">
      <c r="H1432" t="s">
        <v>1383</v>
      </c>
    </row>
    <row r="1433" spans="8:8">
      <c r="H1433" t="s">
        <v>1384</v>
      </c>
    </row>
    <row r="1434" spans="8:8">
      <c r="H1434" t="s">
        <v>1385</v>
      </c>
    </row>
    <row r="1435" spans="8:8">
      <c r="H1435" t="s">
        <v>1386</v>
      </c>
    </row>
    <row r="1436" spans="8:8">
      <c r="H1436" t="s">
        <v>1387</v>
      </c>
    </row>
    <row r="1437" spans="8:8">
      <c r="H1437" t="s">
        <v>1388</v>
      </c>
    </row>
    <row r="1438" spans="8:8">
      <c r="H1438" t="s">
        <v>1389</v>
      </c>
    </row>
    <row r="1439" spans="8:8">
      <c r="H1439" t="s">
        <v>1390</v>
      </c>
    </row>
    <row r="1440" spans="8:8">
      <c r="H1440" t="s">
        <v>1391</v>
      </c>
    </row>
    <row r="1441" spans="8:8">
      <c r="H1441" t="s">
        <v>1392</v>
      </c>
    </row>
    <row r="1442" spans="8:8">
      <c r="H1442" t="s">
        <v>1393</v>
      </c>
    </row>
    <row r="1443" spans="8:8">
      <c r="H1443" t="s">
        <v>1394</v>
      </c>
    </row>
    <row r="1444" spans="8:8">
      <c r="H1444" t="s">
        <v>1395</v>
      </c>
    </row>
    <row r="1445" spans="8:8">
      <c r="H1445" t="s">
        <v>1396</v>
      </c>
    </row>
    <row r="1446" spans="8:8">
      <c r="H1446" t="s">
        <v>1397</v>
      </c>
    </row>
    <row r="1447" spans="8:8">
      <c r="H1447" t="s">
        <v>1398</v>
      </c>
    </row>
    <row r="1448" spans="8:8">
      <c r="H1448" t="s">
        <v>1399</v>
      </c>
    </row>
    <row r="1449" spans="8:8">
      <c r="H1449" t="s">
        <v>1400</v>
      </c>
    </row>
    <row r="1450" spans="8:8">
      <c r="H1450" t="s">
        <v>1401</v>
      </c>
    </row>
    <row r="1451" spans="8:8">
      <c r="H1451" t="s">
        <v>1402</v>
      </c>
    </row>
    <row r="1452" spans="8:8">
      <c r="H1452" t="s">
        <v>1403</v>
      </c>
    </row>
    <row r="1453" spans="8:8">
      <c r="H1453" t="s">
        <v>1404</v>
      </c>
    </row>
    <row r="1454" spans="8:8">
      <c r="H1454" t="s">
        <v>1405</v>
      </c>
    </row>
    <row r="1455" spans="8:8">
      <c r="H1455" t="s">
        <v>1406</v>
      </c>
    </row>
    <row r="1456" spans="8:8">
      <c r="H1456" t="s">
        <v>1407</v>
      </c>
    </row>
    <row r="1457" spans="8:8">
      <c r="H1457" t="s">
        <v>1408</v>
      </c>
    </row>
    <row r="1458" spans="8:8">
      <c r="H1458" t="s">
        <v>1409</v>
      </c>
    </row>
    <row r="1459" spans="8:8">
      <c r="H1459" t="s">
        <v>1410</v>
      </c>
    </row>
    <row r="1460" spans="8:8">
      <c r="H1460" t="s">
        <v>1411</v>
      </c>
    </row>
    <row r="1461" spans="8:8">
      <c r="H1461" t="s">
        <v>1412</v>
      </c>
    </row>
    <row r="1462" spans="8:8">
      <c r="H1462" t="s">
        <v>1413</v>
      </c>
    </row>
    <row r="1463" spans="8:8">
      <c r="H1463" t="s">
        <v>1414</v>
      </c>
    </row>
    <row r="1464" spans="8:8">
      <c r="H1464" t="s">
        <v>1415</v>
      </c>
    </row>
    <row r="1465" spans="8:8">
      <c r="H1465" t="s">
        <v>1416</v>
      </c>
    </row>
    <row r="1466" spans="8:8">
      <c r="H1466" t="s">
        <v>1417</v>
      </c>
    </row>
    <row r="1467" spans="8:8">
      <c r="H1467" t="s">
        <v>1418</v>
      </c>
    </row>
    <row r="1468" spans="8:8">
      <c r="H1468" t="s">
        <v>1419</v>
      </c>
    </row>
    <row r="1469" spans="8:8">
      <c r="H1469" t="s">
        <v>1420</v>
      </c>
    </row>
    <row r="1470" spans="8:8">
      <c r="H1470" t="s">
        <v>1421</v>
      </c>
    </row>
    <row r="1471" spans="8:8">
      <c r="H1471" t="s">
        <v>1422</v>
      </c>
    </row>
    <row r="1472" spans="8:8">
      <c r="H1472" t="s">
        <v>1423</v>
      </c>
    </row>
    <row r="1473" spans="8:8">
      <c r="H1473" t="s">
        <v>1424</v>
      </c>
    </row>
    <row r="1474" spans="8:8">
      <c r="H1474" t="s">
        <v>1425</v>
      </c>
    </row>
    <row r="1475" spans="8:8">
      <c r="H1475" t="s">
        <v>1426</v>
      </c>
    </row>
    <row r="1476" spans="8:8">
      <c r="H1476" t="s">
        <v>1427</v>
      </c>
    </row>
    <row r="1477" spans="8:8">
      <c r="H1477" t="s">
        <v>1428</v>
      </c>
    </row>
    <row r="1478" spans="8:8">
      <c r="H1478" t="s">
        <v>1429</v>
      </c>
    </row>
    <row r="1479" spans="8:8">
      <c r="H1479" t="s">
        <v>1430</v>
      </c>
    </row>
    <row r="1480" spans="8:8">
      <c r="H1480" t="s">
        <v>1431</v>
      </c>
    </row>
    <row r="1481" spans="8:8">
      <c r="H1481" t="s">
        <v>1432</v>
      </c>
    </row>
    <row r="1482" spans="8:8">
      <c r="H1482" t="s">
        <v>1433</v>
      </c>
    </row>
    <row r="1483" spans="8:8">
      <c r="H1483" t="s">
        <v>1434</v>
      </c>
    </row>
    <row r="1484" spans="8:8">
      <c r="H1484" t="s">
        <v>1435</v>
      </c>
    </row>
    <row r="1485" spans="8:8">
      <c r="H1485" t="s">
        <v>1436</v>
      </c>
    </row>
    <row r="1486" spans="8:8">
      <c r="H1486" t="s">
        <v>1437</v>
      </c>
    </row>
    <row r="1487" spans="8:8">
      <c r="H1487" t="s">
        <v>1438</v>
      </c>
    </row>
    <row r="1488" spans="8:8">
      <c r="H1488" t="s">
        <v>1439</v>
      </c>
    </row>
    <row r="1489" spans="8:8">
      <c r="H1489" t="s">
        <v>1440</v>
      </c>
    </row>
    <row r="1490" spans="8:8">
      <c r="H1490" t="s">
        <v>1441</v>
      </c>
    </row>
    <row r="1491" spans="8:8">
      <c r="H1491" t="s">
        <v>1442</v>
      </c>
    </row>
    <row r="1492" spans="8:8">
      <c r="H1492" t="s">
        <v>1443</v>
      </c>
    </row>
    <row r="1493" spans="8:8">
      <c r="H1493" t="s">
        <v>1444</v>
      </c>
    </row>
    <row r="1494" spans="8:8">
      <c r="H1494" t="s">
        <v>1445</v>
      </c>
    </row>
    <row r="1495" spans="8:8">
      <c r="H1495" t="s">
        <v>1446</v>
      </c>
    </row>
    <row r="1496" spans="8:8">
      <c r="H1496" t="s">
        <v>1447</v>
      </c>
    </row>
    <row r="1497" spans="8:8">
      <c r="H1497" t="s">
        <v>1448</v>
      </c>
    </row>
    <row r="1498" spans="8:8">
      <c r="H1498" t="s">
        <v>1449</v>
      </c>
    </row>
    <row r="1499" spans="8:8">
      <c r="H1499" t="s">
        <v>1450</v>
      </c>
    </row>
    <row r="1500" spans="8:8">
      <c r="H1500" t="s">
        <v>1451</v>
      </c>
    </row>
    <row r="1501" spans="8:8">
      <c r="H1501" t="s">
        <v>1452</v>
      </c>
    </row>
    <row r="1502" spans="8:8">
      <c r="H1502" t="s">
        <v>1453</v>
      </c>
    </row>
    <row r="1503" spans="8:8">
      <c r="H1503" t="s">
        <v>1454</v>
      </c>
    </row>
    <row r="1504" spans="8:8">
      <c r="H1504" t="s">
        <v>1455</v>
      </c>
    </row>
    <row r="1505" spans="8:8">
      <c r="H1505" t="s">
        <v>1456</v>
      </c>
    </row>
    <row r="1506" spans="8:8">
      <c r="H1506" t="s">
        <v>1457</v>
      </c>
    </row>
    <row r="1507" spans="8:8">
      <c r="H1507" t="s">
        <v>1458</v>
      </c>
    </row>
    <row r="1508" spans="8:8">
      <c r="H1508" t="s">
        <v>1459</v>
      </c>
    </row>
    <row r="1509" spans="8:8">
      <c r="H1509" t="s">
        <v>1460</v>
      </c>
    </row>
    <row r="1510" spans="8:8">
      <c r="H1510" t="s">
        <v>1461</v>
      </c>
    </row>
    <row r="1511" spans="8:8">
      <c r="H1511" t="s">
        <v>1462</v>
      </c>
    </row>
    <row r="1512" spans="8:8">
      <c r="H1512" t="s">
        <v>1463</v>
      </c>
    </row>
    <row r="1513" spans="8:8">
      <c r="H1513" t="s">
        <v>1464</v>
      </c>
    </row>
    <row r="1514" spans="8:8">
      <c r="H1514" t="s">
        <v>1465</v>
      </c>
    </row>
    <row r="1515" spans="8:8">
      <c r="H1515" t="s">
        <v>1466</v>
      </c>
    </row>
    <row r="1516" spans="8:8">
      <c r="H1516" t="s">
        <v>1467</v>
      </c>
    </row>
    <row r="1517" spans="8:8">
      <c r="H1517" t="s">
        <v>1468</v>
      </c>
    </row>
    <row r="1518" spans="8:8">
      <c r="H1518" t="s">
        <v>1469</v>
      </c>
    </row>
    <row r="1519" spans="8:8">
      <c r="H1519" t="s">
        <v>1470</v>
      </c>
    </row>
    <row r="1520" spans="8:8">
      <c r="H1520" t="s">
        <v>1471</v>
      </c>
    </row>
    <row r="1521" spans="8:8">
      <c r="H1521" t="s">
        <v>1472</v>
      </c>
    </row>
    <row r="1522" spans="8:8">
      <c r="H1522" t="s">
        <v>1473</v>
      </c>
    </row>
    <row r="1523" spans="8:8">
      <c r="H1523" t="s">
        <v>1474</v>
      </c>
    </row>
    <row r="1524" spans="8:8">
      <c r="H1524" t="s">
        <v>1475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2:R34"/>
  <sheetViews>
    <sheetView tabSelected="1" zoomScale="85" zoomScaleNormal="85" workbookViewId="0">
      <selection activeCell="M20" sqref="M20"/>
    </sheetView>
  </sheetViews>
  <sheetFormatPr defaultRowHeight="17.399999999999999"/>
  <cols>
    <col min="1" max="1" width="2.69921875" customWidth="1"/>
    <col min="2" max="2" width="10.09765625" customWidth="1"/>
    <col min="9" max="11" width="15.5" customWidth="1"/>
    <col min="12" max="12" width="16" customWidth="1"/>
    <col min="13" max="13" width="16.69921875" customWidth="1"/>
    <col min="14" max="16" width="9.69921875" customWidth="1"/>
  </cols>
  <sheetData>
    <row r="2" spans="2:18" ht="19.8" thickBot="1">
      <c r="B2" s="29" t="s">
        <v>69</v>
      </c>
      <c r="C2" t="s">
        <v>201</v>
      </c>
    </row>
    <row r="3" spans="2:18" ht="25.8" thickBot="1">
      <c r="B3" s="62"/>
      <c r="C3" s="63" t="s">
        <v>70</v>
      </c>
      <c r="D3" s="64" t="s">
        <v>71</v>
      </c>
      <c r="E3" s="64" t="s">
        <v>60</v>
      </c>
      <c r="F3" s="64" t="s">
        <v>72</v>
      </c>
      <c r="G3" s="64" t="s">
        <v>73</v>
      </c>
      <c r="H3" s="64" t="s">
        <v>74</v>
      </c>
      <c r="I3" s="65" t="s">
        <v>75</v>
      </c>
      <c r="J3" s="65" t="s">
        <v>76</v>
      </c>
      <c r="K3" s="66" t="s">
        <v>77</v>
      </c>
      <c r="M3" s="5"/>
      <c r="N3" s="5"/>
      <c r="O3" s="5"/>
      <c r="P3" s="5"/>
      <c r="Q3" s="5"/>
      <c r="R3" s="5" t="s">
        <v>2320</v>
      </c>
    </row>
    <row r="4" spans="2:18" ht="21.75" customHeight="1" thickTop="1">
      <c r="B4" s="67">
        <v>12</v>
      </c>
      <c r="C4" s="57" t="s">
        <v>2343</v>
      </c>
      <c r="D4" s="54">
        <v>96</v>
      </c>
      <c r="E4" s="54">
        <v>92</v>
      </c>
      <c r="F4" s="54">
        <v>87</v>
      </c>
      <c r="G4" s="54">
        <v>94</v>
      </c>
      <c r="H4" s="54">
        <v>90</v>
      </c>
      <c r="I4" s="58"/>
      <c r="J4" s="59"/>
      <c r="K4" s="68"/>
      <c r="Q4" s="8"/>
      <c r="R4" s="8" t="s">
        <v>2317</v>
      </c>
    </row>
    <row r="5" spans="2:18" ht="21.75" customHeight="1">
      <c r="B5" s="69">
        <v>3</v>
      </c>
      <c r="C5" s="56" t="s">
        <v>79</v>
      </c>
      <c r="D5" s="55">
        <v>92</v>
      </c>
      <c r="E5" s="55">
        <v>98</v>
      </c>
      <c r="F5" s="55">
        <v>89</v>
      </c>
      <c r="G5" s="55">
        <v>89</v>
      </c>
      <c r="H5" s="55">
        <v>78</v>
      </c>
      <c r="I5" s="58"/>
      <c r="J5" s="59"/>
      <c r="K5" s="68"/>
      <c r="Q5" s="8" t="s">
        <v>2305</v>
      </c>
      <c r="R5" s="8"/>
    </row>
    <row r="6" spans="2:18" ht="21.75" customHeight="1">
      <c r="B6" s="69">
        <v>7</v>
      </c>
      <c r="C6" s="56" t="s">
        <v>83</v>
      </c>
      <c r="D6" s="55">
        <v>90</v>
      </c>
      <c r="E6" s="55">
        <v>89</v>
      </c>
      <c r="F6" s="55">
        <v>97</v>
      </c>
      <c r="G6" s="55">
        <v>94</v>
      </c>
      <c r="H6" s="55">
        <v>90</v>
      </c>
      <c r="I6" s="58"/>
      <c r="J6" s="59"/>
      <c r="K6" s="68"/>
      <c r="Q6" s="8" t="s">
        <v>2306</v>
      </c>
      <c r="R6" s="8"/>
    </row>
    <row r="7" spans="2:18" ht="21.75" customHeight="1">
      <c r="B7" s="69">
        <v>1</v>
      </c>
      <c r="C7" s="56" t="s">
        <v>2338</v>
      </c>
      <c r="D7" s="55">
        <v>89</v>
      </c>
      <c r="E7" s="55">
        <v>65</v>
      </c>
      <c r="F7" s="55">
        <v>65</v>
      </c>
      <c r="G7" s="55">
        <v>76</v>
      </c>
      <c r="H7" s="55">
        <v>87</v>
      </c>
      <c r="I7" s="58"/>
      <c r="J7" s="59"/>
      <c r="K7" s="68"/>
      <c r="Q7" s="5"/>
      <c r="R7" s="5" t="s">
        <v>2321</v>
      </c>
    </row>
    <row r="8" spans="2:18" ht="21.75" customHeight="1">
      <c r="B8" s="69">
        <v>13</v>
      </c>
      <c r="C8" s="56" t="s">
        <v>88</v>
      </c>
      <c r="D8" s="55">
        <v>89</v>
      </c>
      <c r="E8" s="55">
        <v>76</v>
      </c>
      <c r="F8" s="55">
        <v>65</v>
      </c>
      <c r="G8" s="55">
        <v>54</v>
      </c>
      <c r="H8" s="55">
        <v>65</v>
      </c>
      <c r="I8" s="58"/>
      <c r="J8" s="59"/>
      <c r="K8" s="68"/>
      <c r="Q8" s="8"/>
      <c r="R8" s="8" t="s">
        <v>2319</v>
      </c>
    </row>
    <row r="9" spans="2:18" ht="21.75" customHeight="1">
      <c r="B9" s="69">
        <v>10</v>
      </c>
      <c r="C9" s="56" t="s">
        <v>86</v>
      </c>
      <c r="D9" s="55">
        <v>89</v>
      </c>
      <c r="E9" s="55">
        <v>45</v>
      </c>
      <c r="F9" s="55">
        <v>89</v>
      </c>
      <c r="G9" s="55">
        <v>65</v>
      </c>
      <c r="H9" s="55">
        <v>65</v>
      </c>
      <c r="I9" s="58"/>
      <c r="J9" s="59"/>
      <c r="K9" s="68"/>
      <c r="Q9" s="8" t="s">
        <v>2307</v>
      </c>
      <c r="R9" s="8"/>
    </row>
    <row r="10" spans="2:18" ht="21.75" customHeight="1">
      <c r="B10" s="69">
        <v>16</v>
      </c>
      <c r="C10" s="56" t="s">
        <v>90</v>
      </c>
      <c r="D10" s="55">
        <v>89</v>
      </c>
      <c r="E10" s="55">
        <v>54</v>
      </c>
      <c r="F10" s="55">
        <v>54</v>
      </c>
      <c r="G10" s="55">
        <v>54</v>
      </c>
      <c r="H10" s="55">
        <v>43</v>
      </c>
      <c r="I10" s="58"/>
      <c r="J10" s="59"/>
      <c r="K10" s="68"/>
      <c r="Q10" s="8" t="s">
        <v>2318</v>
      </c>
      <c r="R10" s="8"/>
    </row>
    <row r="11" spans="2:18" ht="21.75" customHeight="1">
      <c r="B11" s="69">
        <v>18</v>
      </c>
      <c r="C11" s="56" t="s">
        <v>92</v>
      </c>
      <c r="D11" s="55">
        <v>89</v>
      </c>
      <c r="E11" s="55">
        <v>96</v>
      </c>
      <c r="F11" s="55">
        <v>92</v>
      </c>
      <c r="G11" s="55">
        <v>89</v>
      </c>
      <c r="H11" s="55">
        <v>93</v>
      </c>
      <c r="I11" s="58"/>
      <c r="J11" s="59"/>
      <c r="K11" s="68"/>
    </row>
    <row r="12" spans="2:18" ht="21.75" customHeight="1">
      <c r="B12" s="69">
        <v>19</v>
      </c>
      <c r="C12" s="56" t="s">
        <v>2341</v>
      </c>
      <c r="D12" s="55">
        <v>89</v>
      </c>
      <c r="E12" s="55">
        <v>67</v>
      </c>
      <c r="F12" s="55">
        <v>67</v>
      </c>
      <c r="G12" s="55">
        <v>91</v>
      </c>
      <c r="H12" s="55">
        <v>94</v>
      </c>
      <c r="I12" s="58"/>
      <c r="J12" s="59"/>
      <c r="K12" s="68"/>
    </row>
    <row r="13" spans="2:18" ht="21.75" customHeight="1">
      <c r="B13" s="69">
        <v>9</v>
      </c>
      <c r="C13" s="56" t="s">
        <v>85</v>
      </c>
      <c r="D13" s="55">
        <v>89</v>
      </c>
      <c r="E13" s="55">
        <v>65</v>
      </c>
      <c r="F13" s="55">
        <v>89</v>
      </c>
      <c r="G13" s="55">
        <v>54</v>
      </c>
      <c r="H13" s="55">
        <v>97</v>
      </c>
      <c r="I13" s="58"/>
      <c r="J13" s="59"/>
      <c r="K13" s="68"/>
    </row>
    <row r="14" spans="2:18" ht="21.75" customHeight="1">
      <c r="B14" s="69">
        <v>8</v>
      </c>
      <c r="C14" s="56" t="s">
        <v>84</v>
      </c>
      <c r="D14" s="55">
        <v>88</v>
      </c>
      <c r="E14" s="55">
        <v>56</v>
      </c>
      <c r="F14" s="55">
        <v>89</v>
      </c>
      <c r="G14" s="55">
        <v>89</v>
      </c>
      <c r="H14" s="55">
        <v>95</v>
      </c>
      <c r="I14" s="58"/>
      <c r="J14" s="59"/>
      <c r="K14" s="68"/>
    </row>
    <row r="15" spans="2:18" ht="21.75" customHeight="1">
      <c r="B15" s="69">
        <v>11</v>
      </c>
      <c r="C15" s="56" t="s">
        <v>87</v>
      </c>
      <c r="D15" s="55">
        <v>87</v>
      </c>
      <c r="E15" s="55">
        <v>54</v>
      </c>
      <c r="F15" s="55">
        <v>34</v>
      </c>
      <c r="G15" s="55">
        <v>45</v>
      </c>
      <c r="H15" s="55">
        <v>89</v>
      </c>
      <c r="I15" s="58"/>
      <c r="J15" s="59"/>
      <c r="K15" s="68"/>
    </row>
    <row r="16" spans="2:18" ht="21.75" customHeight="1">
      <c r="B16" s="69">
        <v>2</v>
      </c>
      <c r="C16" s="56" t="s">
        <v>78</v>
      </c>
      <c r="D16" s="55">
        <v>78</v>
      </c>
      <c r="E16" s="55">
        <v>78</v>
      </c>
      <c r="F16" s="55">
        <v>76</v>
      </c>
      <c r="G16" s="55">
        <v>87</v>
      </c>
      <c r="H16" s="55">
        <v>56</v>
      </c>
      <c r="I16" s="58"/>
      <c r="J16" s="59"/>
      <c r="K16" s="68"/>
    </row>
    <row r="17" spans="2:15" ht="21.75" customHeight="1">
      <c r="B17" s="69">
        <v>4</v>
      </c>
      <c r="C17" s="56" t="s">
        <v>80</v>
      </c>
      <c r="D17" s="55">
        <v>76</v>
      </c>
      <c r="E17" s="55">
        <v>78</v>
      </c>
      <c r="F17" s="55">
        <v>89</v>
      </c>
      <c r="G17" s="55">
        <v>66</v>
      </c>
      <c r="H17" s="55">
        <v>89</v>
      </c>
      <c r="I17" s="58"/>
      <c r="J17" s="59"/>
      <c r="K17" s="68"/>
    </row>
    <row r="18" spans="2:15" ht="21.75" customHeight="1">
      <c r="B18" s="69">
        <v>14</v>
      </c>
      <c r="C18" s="56" t="s">
        <v>2342</v>
      </c>
      <c r="D18" s="55">
        <v>76</v>
      </c>
      <c r="E18" s="55">
        <v>76</v>
      </c>
      <c r="F18" s="55">
        <v>55</v>
      </c>
      <c r="G18" s="55">
        <v>74</v>
      </c>
      <c r="H18" s="55">
        <v>76</v>
      </c>
      <c r="I18" s="58"/>
      <c r="J18" s="59"/>
      <c r="K18" s="68"/>
    </row>
    <row r="19" spans="2:15" ht="21.75" customHeight="1">
      <c r="B19" s="69">
        <v>6</v>
      </c>
      <c r="C19" s="56" t="s">
        <v>2340</v>
      </c>
      <c r="D19" s="55">
        <v>65</v>
      </c>
      <c r="E19" s="55">
        <v>54</v>
      </c>
      <c r="F19" s="55">
        <v>89</v>
      </c>
      <c r="G19" s="55">
        <v>65</v>
      </c>
      <c r="H19" s="55">
        <v>65</v>
      </c>
      <c r="I19" s="58"/>
      <c r="J19" s="59"/>
      <c r="K19" s="68"/>
    </row>
    <row r="20" spans="2:15" ht="21.75" customHeight="1">
      <c r="B20" s="69">
        <v>5</v>
      </c>
      <c r="C20" s="56" t="s">
        <v>81</v>
      </c>
      <c r="D20" s="55">
        <v>56</v>
      </c>
      <c r="E20" s="55">
        <v>89</v>
      </c>
      <c r="F20" s="55">
        <v>89</v>
      </c>
      <c r="G20" s="55">
        <v>90</v>
      </c>
      <c r="H20" s="55">
        <v>89</v>
      </c>
      <c r="I20" s="58"/>
      <c r="J20" s="59"/>
      <c r="K20" s="68"/>
      <c r="M20" s="219"/>
    </row>
    <row r="21" spans="2:15" ht="21.75" customHeight="1">
      <c r="B21" s="69">
        <v>15</v>
      </c>
      <c r="C21" s="56" t="s">
        <v>89</v>
      </c>
      <c r="D21" s="55">
        <v>45</v>
      </c>
      <c r="E21" s="55">
        <v>56</v>
      </c>
      <c r="F21" s="55">
        <v>87</v>
      </c>
      <c r="G21" s="55">
        <v>74</v>
      </c>
      <c r="H21" s="55">
        <v>97</v>
      </c>
      <c r="I21" s="58"/>
      <c r="J21" s="59"/>
      <c r="K21" s="68"/>
      <c r="O21" s="220"/>
    </row>
    <row r="22" spans="2:15" ht="21.75" customHeight="1" thickBot="1">
      <c r="B22" s="70">
        <v>17</v>
      </c>
      <c r="C22" s="60" t="s">
        <v>91</v>
      </c>
      <c r="D22" s="61">
        <v>34</v>
      </c>
      <c r="E22" s="61">
        <v>54</v>
      </c>
      <c r="F22" s="61">
        <v>54</v>
      </c>
      <c r="G22" s="61">
        <v>32</v>
      </c>
      <c r="H22" s="61">
        <v>43</v>
      </c>
      <c r="I22" s="58"/>
      <c r="J22" s="59"/>
      <c r="K22" s="68"/>
      <c r="O22" s="52"/>
    </row>
    <row r="23" spans="2:15">
      <c r="O23" s="220"/>
    </row>
    <row r="24" spans="2:15">
      <c r="O24" s="220"/>
    </row>
    <row r="25" spans="2:15">
      <c r="J25" s="218"/>
      <c r="O25" s="52"/>
    </row>
    <row r="26" spans="2:15">
      <c r="J26" s="218"/>
      <c r="L26" s="4"/>
    </row>
    <row r="27" spans="2:15">
      <c r="J27" s="218"/>
      <c r="L27" s="219"/>
    </row>
    <row r="28" spans="2:15">
      <c r="J28" s="218"/>
      <c r="L28" s="221"/>
    </row>
    <row r="29" spans="2:15">
      <c r="J29" s="218"/>
    </row>
    <row r="30" spans="2:15">
      <c r="J30" s="218"/>
      <c r="L30" s="4"/>
    </row>
    <row r="31" spans="2:15">
      <c r="L31" s="221"/>
    </row>
    <row r="32" spans="2:15">
      <c r="L32" s="4"/>
    </row>
    <row r="33" spans="12:12">
      <c r="L33" s="23"/>
    </row>
    <row r="34" spans="12:12">
      <c r="L34" s="23"/>
    </row>
  </sheetData>
  <sortState xmlns:xlrd2="http://schemas.microsoft.com/office/spreadsheetml/2017/richdata2" ref="B4:K22">
    <sortCondition descending="1" ref="D4:D22"/>
  </sortState>
  <phoneticPr fontId="1" type="noConversion"/>
  <dataValidations count="1">
    <dataValidation type="whole" allowBlank="1" showInputMessage="1" showErrorMessage="1" sqref="D4:H22" xr:uid="{00000000-0002-0000-0300-000000000000}">
      <formula1>40</formula1>
      <formula2>100</formula2>
    </dataValidation>
  </dataValidation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3:N869"/>
  <sheetViews>
    <sheetView workbookViewId="0">
      <selection activeCell="B3" sqref="B3"/>
    </sheetView>
  </sheetViews>
  <sheetFormatPr defaultRowHeight="17.399999999999999"/>
  <cols>
    <col min="2" max="2" width="22.59765625" customWidth="1"/>
    <col min="3" max="3" width="11.69921875" customWidth="1"/>
    <col min="4" max="4" width="14.59765625" customWidth="1"/>
    <col min="9" max="9" width="24.09765625" customWidth="1"/>
  </cols>
  <sheetData>
    <row r="3" spans="2:14">
      <c r="B3" t="s">
        <v>2344</v>
      </c>
      <c r="C3" t="s">
        <v>82</v>
      </c>
      <c r="D3" t="str">
        <f>MID(C3,2,1)</f>
        <v>형</v>
      </c>
      <c r="E3" t="str">
        <f>REPLACE(C3,2,1,"X")</f>
        <v>정X준</v>
      </c>
      <c r="I3" s="5">
        <v>1</v>
      </c>
      <c r="J3" t="str">
        <f>IF(I3=1,"XXX","YYY")</f>
        <v>XXX</v>
      </c>
      <c r="M3" t="s">
        <v>97</v>
      </c>
    </row>
    <row r="4" spans="2:14">
      <c r="B4" s="224" t="s">
        <v>3207</v>
      </c>
      <c r="C4" t="s">
        <v>171</v>
      </c>
      <c r="D4" t="str">
        <f>MID(C4,2,1)</f>
        <v>춘</v>
      </c>
      <c r="E4" t="str">
        <f t="shared" ref="E4:E19" si="0">REPLACE(C4,2,1,"X")</f>
        <v>이X식</v>
      </c>
      <c r="I4" s="5">
        <v>2</v>
      </c>
      <c r="J4" t="str">
        <f t="shared" ref="J4:J27" si="1">IF(I4=1,"XXX","YYY")</f>
        <v>YYY</v>
      </c>
      <c r="M4">
        <v>1</v>
      </c>
      <c r="N4" s="5" t="str">
        <f>IF(M4=1,"대졸",IF(M4=2,"고졸","중졸"))</f>
        <v>대졸</v>
      </c>
    </row>
    <row r="5" spans="2:14">
      <c r="B5" s="224" t="s">
        <v>3208</v>
      </c>
      <c r="C5" t="s">
        <v>172</v>
      </c>
      <c r="D5" t="str">
        <f t="shared" ref="D5:D20" si="2">MID(C5,2,1)</f>
        <v>수</v>
      </c>
      <c r="E5" t="str">
        <f t="shared" si="0"/>
        <v>김X민</v>
      </c>
      <c r="I5" s="5">
        <v>1</v>
      </c>
      <c r="J5" t="str">
        <f t="shared" si="1"/>
        <v>XXX</v>
      </c>
      <c r="M5">
        <v>3</v>
      </c>
      <c r="N5" s="5" t="str">
        <f t="shared" ref="N5:N29" si="3">IF(M5=1,"대졸",IF(M5=2,"고졸","중졸"))</f>
        <v>중졸</v>
      </c>
    </row>
    <row r="6" spans="2:14">
      <c r="B6" s="224" t="s">
        <v>3209</v>
      </c>
      <c r="C6" t="s">
        <v>82</v>
      </c>
      <c r="D6" t="str">
        <f t="shared" si="2"/>
        <v>형</v>
      </c>
      <c r="E6" t="str">
        <f t="shared" si="0"/>
        <v>정X준</v>
      </c>
      <c r="I6" s="5">
        <v>2</v>
      </c>
      <c r="J6" t="str">
        <f t="shared" si="1"/>
        <v>YYY</v>
      </c>
      <c r="M6">
        <v>2</v>
      </c>
      <c r="N6" s="5" t="str">
        <f t="shared" si="3"/>
        <v>고졸</v>
      </c>
    </row>
    <row r="7" spans="2:14">
      <c r="B7" s="224" t="s">
        <v>3210</v>
      </c>
      <c r="C7" t="s">
        <v>171</v>
      </c>
      <c r="D7" t="str">
        <f t="shared" si="2"/>
        <v>춘</v>
      </c>
      <c r="E7" t="str">
        <f t="shared" si="0"/>
        <v>이X식</v>
      </c>
      <c r="I7" s="5">
        <v>2</v>
      </c>
      <c r="J7" t="str">
        <f t="shared" si="1"/>
        <v>YYY</v>
      </c>
      <c r="M7">
        <v>3</v>
      </c>
      <c r="N7" s="5" t="str">
        <f t="shared" si="3"/>
        <v>중졸</v>
      </c>
    </row>
    <row r="8" spans="2:14">
      <c r="B8" s="224" t="s">
        <v>2345</v>
      </c>
      <c r="C8" t="s">
        <v>172</v>
      </c>
      <c r="D8" t="str">
        <f t="shared" si="2"/>
        <v>수</v>
      </c>
      <c r="E8" t="str">
        <f t="shared" si="0"/>
        <v>김X민</v>
      </c>
      <c r="I8" s="5">
        <v>1</v>
      </c>
      <c r="J8" t="str">
        <f t="shared" si="1"/>
        <v>XXX</v>
      </c>
      <c r="M8">
        <v>2</v>
      </c>
      <c r="N8" s="5" t="str">
        <f t="shared" si="3"/>
        <v>고졸</v>
      </c>
    </row>
    <row r="9" spans="2:14">
      <c r="B9" s="224" t="s">
        <v>2346</v>
      </c>
      <c r="C9" t="s">
        <v>82</v>
      </c>
      <c r="D9" t="str">
        <f t="shared" si="2"/>
        <v>형</v>
      </c>
      <c r="E9" t="str">
        <f t="shared" si="0"/>
        <v>정X준</v>
      </c>
      <c r="I9" s="5">
        <v>1</v>
      </c>
      <c r="J9" t="str">
        <f t="shared" si="1"/>
        <v>XXX</v>
      </c>
      <c r="M9">
        <v>1</v>
      </c>
      <c r="N9" s="5" t="str">
        <f t="shared" si="3"/>
        <v>대졸</v>
      </c>
    </row>
    <row r="10" spans="2:14">
      <c r="B10" s="224" t="s">
        <v>2347</v>
      </c>
      <c r="C10" t="s">
        <v>171</v>
      </c>
      <c r="D10" t="str">
        <f t="shared" si="2"/>
        <v>춘</v>
      </c>
      <c r="E10" t="str">
        <f t="shared" si="0"/>
        <v>이X식</v>
      </c>
      <c r="I10" s="5">
        <v>2</v>
      </c>
      <c r="J10" t="str">
        <f t="shared" si="1"/>
        <v>YYY</v>
      </c>
      <c r="M10">
        <v>1</v>
      </c>
      <c r="N10" s="5" t="str">
        <f t="shared" si="3"/>
        <v>대졸</v>
      </c>
    </row>
    <row r="11" spans="2:14">
      <c r="B11" s="224" t="s">
        <v>2348</v>
      </c>
      <c r="C11" t="s">
        <v>172</v>
      </c>
      <c r="D11" t="str">
        <f t="shared" si="2"/>
        <v>수</v>
      </c>
      <c r="E11" t="str">
        <f t="shared" si="0"/>
        <v>김X민</v>
      </c>
      <c r="I11" s="5">
        <v>2</v>
      </c>
      <c r="J11" t="str">
        <f t="shared" si="1"/>
        <v>YYY</v>
      </c>
      <c r="M11">
        <v>2</v>
      </c>
      <c r="N11" s="5" t="str">
        <f t="shared" si="3"/>
        <v>고졸</v>
      </c>
    </row>
    <row r="12" spans="2:14">
      <c r="B12" s="224" t="s">
        <v>2349</v>
      </c>
      <c r="C12" t="s">
        <v>82</v>
      </c>
      <c r="D12" t="str">
        <f t="shared" si="2"/>
        <v>형</v>
      </c>
      <c r="E12" t="str">
        <f t="shared" si="0"/>
        <v>정X준</v>
      </c>
      <c r="I12" s="5">
        <v>1</v>
      </c>
      <c r="J12" t="str">
        <f t="shared" si="1"/>
        <v>XXX</v>
      </c>
      <c r="M12">
        <v>3</v>
      </c>
      <c r="N12" s="5" t="str">
        <f t="shared" si="3"/>
        <v>중졸</v>
      </c>
    </row>
    <row r="13" spans="2:14">
      <c r="B13" s="224" t="s">
        <v>2350</v>
      </c>
      <c r="C13" t="s">
        <v>171</v>
      </c>
      <c r="D13" t="str">
        <f t="shared" si="2"/>
        <v>춘</v>
      </c>
      <c r="E13" t="str">
        <f t="shared" si="0"/>
        <v>이X식</v>
      </c>
      <c r="I13" s="5">
        <v>1</v>
      </c>
      <c r="J13" t="str">
        <f t="shared" si="1"/>
        <v>XXX</v>
      </c>
      <c r="M13">
        <v>2</v>
      </c>
      <c r="N13" s="5" t="str">
        <f t="shared" si="3"/>
        <v>고졸</v>
      </c>
    </row>
    <row r="14" spans="2:14">
      <c r="B14" s="224" t="s">
        <v>2351</v>
      </c>
      <c r="C14" t="s">
        <v>172</v>
      </c>
      <c r="D14" t="str">
        <f t="shared" si="2"/>
        <v>수</v>
      </c>
      <c r="E14" t="str">
        <f t="shared" si="0"/>
        <v>김X민</v>
      </c>
      <c r="I14" s="5">
        <v>2</v>
      </c>
      <c r="J14" t="str">
        <f t="shared" si="1"/>
        <v>YYY</v>
      </c>
      <c r="M14">
        <v>3</v>
      </c>
      <c r="N14" s="5" t="str">
        <f t="shared" si="3"/>
        <v>중졸</v>
      </c>
    </row>
    <row r="15" spans="2:14">
      <c r="B15" s="224" t="s">
        <v>2352</v>
      </c>
      <c r="C15" t="s">
        <v>82</v>
      </c>
      <c r="D15" t="str">
        <f t="shared" si="2"/>
        <v>형</v>
      </c>
      <c r="E15" t="str">
        <f t="shared" si="0"/>
        <v>정X준</v>
      </c>
      <c r="I15" s="5">
        <v>2</v>
      </c>
      <c r="J15" t="str">
        <f t="shared" si="1"/>
        <v>YYY</v>
      </c>
      <c r="M15">
        <v>3</v>
      </c>
      <c r="N15" s="5" t="str">
        <f t="shared" si="3"/>
        <v>중졸</v>
      </c>
    </row>
    <row r="16" spans="2:14">
      <c r="B16" s="224" t="s">
        <v>2353</v>
      </c>
      <c r="C16" t="s">
        <v>171</v>
      </c>
      <c r="D16" t="str">
        <f t="shared" si="2"/>
        <v>춘</v>
      </c>
      <c r="E16" t="str">
        <f t="shared" si="0"/>
        <v>이X식</v>
      </c>
      <c r="I16" s="5">
        <v>2</v>
      </c>
      <c r="J16" t="str">
        <f t="shared" si="1"/>
        <v>YYY</v>
      </c>
      <c r="M16">
        <v>2</v>
      </c>
      <c r="N16" s="5" t="str">
        <f t="shared" si="3"/>
        <v>고졸</v>
      </c>
    </row>
    <row r="17" spans="2:14">
      <c r="B17" s="224" t="s">
        <v>2354</v>
      </c>
      <c r="C17" t="s">
        <v>172</v>
      </c>
      <c r="D17" t="str">
        <f t="shared" si="2"/>
        <v>수</v>
      </c>
      <c r="E17" t="str">
        <f t="shared" si="0"/>
        <v>김X민</v>
      </c>
      <c r="I17" s="5">
        <v>2</v>
      </c>
      <c r="J17" t="str">
        <f t="shared" si="1"/>
        <v>YYY</v>
      </c>
      <c r="M17">
        <v>2</v>
      </c>
      <c r="N17" s="5" t="str">
        <f t="shared" si="3"/>
        <v>고졸</v>
      </c>
    </row>
    <row r="18" spans="2:14">
      <c r="B18" s="224" t="s">
        <v>2355</v>
      </c>
      <c r="C18" t="s">
        <v>82</v>
      </c>
      <c r="D18" t="str">
        <f t="shared" si="2"/>
        <v>형</v>
      </c>
      <c r="E18" t="str">
        <f t="shared" si="0"/>
        <v>정X준</v>
      </c>
      <c r="I18" s="5">
        <v>2</v>
      </c>
      <c r="J18" t="str">
        <f t="shared" si="1"/>
        <v>YYY</v>
      </c>
      <c r="M18">
        <v>2</v>
      </c>
      <c r="N18" s="5" t="str">
        <f t="shared" si="3"/>
        <v>고졸</v>
      </c>
    </row>
    <row r="19" spans="2:14">
      <c r="B19" s="224" t="s">
        <v>2356</v>
      </c>
      <c r="C19" t="s">
        <v>171</v>
      </c>
      <c r="D19" t="str">
        <f t="shared" si="2"/>
        <v>춘</v>
      </c>
      <c r="E19" t="str">
        <f t="shared" si="0"/>
        <v>이X식</v>
      </c>
      <c r="I19" s="5">
        <v>2</v>
      </c>
      <c r="J19" t="str">
        <f t="shared" si="1"/>
        <v>YYY</v>
      </c>
      <c r="M19">
        <v>2</v>
      </c>
      <c r="N19" s="5" t="str">
        <f t="shared" si="3"/>
        <v>고졸</v>
      </c>
    </row>
    <row r="20" spans="2:14">
      <c r="B20" s="224" t="s">
        <v>2357</v>
      </c>
      <c r="C20" t="s">
        <v>172</v>
      </c>
      <c r="D20" t="str">
        <f t="shared" si="2"/>
        <v>수</v>
      </c>
      <c r="E20" t="str">
        <f t="shared" ref="E20:E67" si="4">REPLACE(C20,2,1,"X")</f>
        <v>김X민</v>
      </c>
      <c r="I20" s="5">
        <v>2</v>
      </c>
      <c r="J20" t="str">
        <f t="shared" si="1"/>
        <v>YYY</v>
      </c>
      <c r="M20">
        <v>3</v>
      </c>
      <c r="N20" s="5" t="str">
        <f t="shared" si="3"/>
        <v>중졸</v>
      </c>
    </row>
    <row r="21" spans="2:14">
      <c r="B21" s="224" t="s">
        <v>2358</v>
      </c>
      <c r="C21" t="s">
        <v>82</v>
      </c>
      <c r="E21" t="str">
        <f t="shared" si="4"/>
        <v>정X준</v>
      </c>
      <c r="I21" s="5">
        <v>1</v>
      </c>
      <c r="J21" t="str">
        <f t="shared" si="1"/>
        <v>XXX</v>
      </c>
      <c r="M21">
        <v>3</v>
      </c>
      <c r="N21" s="5" t="str">
        <f t="shared" si="3"/>
        <v>중졸</v>
      </c>
    </row>
    <row r="22" spans="2:14">
      <c r="B22" s="224" t="s">
        <v>2359</v>
      </c>
      <c r="C22" t="s">
        <v>171</v>
      </c>
      <c r="E22" t="str">
        <f t="shared" si="4"/>
        <v>이X식</v>
      </c>
      <c r="I22" s="5">
        <v>2</v>
      </c>
      <c r="J22" t="str">
        <f t="shared" si="1"/>
        <v>YYY</v>
      </c>
      <c r="M22">
        <v>3</v>
      </c>
      <c r="N22" s="5" t="str">
        <f t="shared" si="3"/>
        <v>중졸</v>
      </c>
    </row>
    <row r="23" spans="2:14">
      <c r="B23" s="224" t="s">
        <v>2360</v>
      </c>
      <c r="C23" t="s">
        <v>172</v>
      </c>
      <c r="E23" t="str">
        <f t="shared" si="4"/>
        <v>김X민</v>
      </c>
      <c r="I23" s="5">
        <v>2</v>
      </c>
      <c r="J23" t="str">
        <f t="shared" si="1"/>
        <v>YYY</v>
      </c>
      <c r="M23">
        <v>3</v>
      </c>
      <c r="N23" s="5" t="str">
        <f t="shared" si="3"/>
        <v>중졸</v>
      </c>
    </row>
    <row r="24" spans="2:14">
      <c r="B24" s="224" t="s">
        <v>2361</v>
      </c>
      <c r="C24" t="s">
        <v>82</v>
      </c>
      <c r="E24" t="str">
        <f t="shared" si="4"/>
        <v>정X준</v>
      </c>
      <c r="I24" s="5">
        <v>1</v>
      </c>
      <c r="J24" t="str">
        <f t="shared" si="1"/>
        <v>XXX</v>
      </c>
      <c r="M24">
        <v>3</v>
      </c>
      <c r="N24" s="5" t="str">
        <f t="shared" si="3"/>
        <v>중졸</v>
      </c>
    </row>
    <row r="25" spans="2:14">
      <c r="B25" s="224" t="s">
        <v>2362</v>
      </c>
      <c r="C25" t="s">
        <v>171</v>
      </c>
      <c r="E25" t="str">
        <f t="shared" si="4"/>
        <v>이X식</v>
      </c>
      <c r="I25" s="5">
        <v>2</v>
      </c>
      <c r="J25" t="str">
        <f t="shared" si="1"/>
        <v>YYY</v>
      </c>
      <c r="M25">
        <v>1</v>
      </c>
      <c r="N25" s="5" t="str">
        <f t="shared" si="3"/>
        <v>대졸</v>
      </c>
    </row>
    <row r="26" spans="2:14">
      <c r="B26" s="224" t="s">
        <v>2363</v>
      </c>
      <c r="C26" t="s">
        <v>172</v>
      </c>
      <c r="E26" t="str">
        <f t="shared" si="4"/>
        <v>김X민</v>
      </c>
      <c r="I26" s="5">
        <v>1</v>
      </c>
      <c r="J26" t="str">
        <f t="shared" si="1"/>
        <v>XXX</v>
      </c>
      <c r="M26">
        <v>1</v>
      </c>
      <c r="N26" s="5" t="str">
        <f t="shared" si="3"/>
        <v>대졸</v>
      </c>
    </row>
    <row r="27" spans="2:14">
      <c r="B27" s="224" t="s">
        <v>2364</v>
      </c>
      <c r="C27" t="s">
        <v>82</v>
      </c>
      <c r="E27" t="str">
        <f t="shared" si="4"/>
        <v>정X준</v>
      </c>
      <c r="I27" s="5">
        <v>2</v>
      </c>
      <c r="J27" t="str">
        <f t="shared" si="1"/>
        <v>YYY</v>
      </c>
      <c r="M27">
        <v>1</v>
      </c>
      <c r="N27" s="5" t="str">
        <f t="shared" si="3"/>
        <v>대졸</v>
      </c>
    </row>
    <row r="28" spans="2:14">
      <c r="B28" s="224" t="s">
        <v>2365</v>
      </c>
      <c r="C28" t="s">
        <v>171</v>
      </c>
      <c r="E28" t="str">
        <f t="shared" si="4"/>
        <v>이X식</v>
      </c>
      <c r="M28">
        <v>2</v>
      </c>
      <c r="N28" s="5" t="str">
        <f t="shared" si="3"/>
        <v>고졸</v>
      </c>
    </row>
    <row r="29" spans="2:14">
      <c r="B29" s="224" t="s">
        <v>2366</v>
      </c>
      <c r="C29" t="s">
        <v>172</v>
      </c>
      <c r="E29" t="str">
        <f t="shared" si="4"/>
        <v>김X민</v>
      </c>
      <c r="M29">
        <v>3</v>
      </c>
      <c r="N29" s="5" t="str">
        <f t="shared" si="3"/>
        <v>중졸</v>
      </c>
    </row>
    <row r="30" spans="2:14">
      <c r="B30" s="224" t="s">
        <v>2367</v>
      </c>
      <c r="C30" t="s">
        <v>82</v>
      </c>
      <c r="E30" t="str">
        <f t="shared" si="4"/>
        <v>정X준</v>
      </c>
    </row>
    <row r="31" spans="2:14">
      <c r="B31" s="224" t="s">
        <v>2368</v>
      </c>
      <c r="C31" t="s">
        <v>171</v>
      </c>
      <c r="E31" t="str">
        <f t="shared" si="4"/>
        <v>이X식</v>
      </c>
    </row>
    <row r="32" spans="2:14">
      <c r="B32" s="224" t="s">
        <v>2369</v>
      </c>
      <c r="C32" t="s">
        <v>172</v>
      </c>
      <c r="E32" t="str">
        <f t="shared" si="4"/>
        <v>김X민</v>
      </c>
    </row>
    <row r="33" spans="2:5">
      <c r="B33" s="224" t="s">
        <v>2370</v>
      </c>
      <c r="C33" t="s">
        <v>82</v>
      </c>
      <c r="E33" t="str">
        <f t="shared" si="4"/>
        <v>정X준</v>
      </c>
    </row>
    <row r="34" spans="2:5">
      <c r="B34" s="224" t="s">
        <v>2371</v>
      </c>
      <c r="C34" t="s">
        <v>171</v>
      </c>
      <c r="E34" t="str">
        <f t="shared" si="4"/>
        <v>이X식</v>
      </c>
    </row>
    <row r="35" spans="2:5">
      <c r="B35" s="224" t="s">
        <v>2372</v>
      </c>
      <c r="C35" t="s">
        <v>172</v>
      </c>
      <c r="E35" t="str">
        <f t="shared" si="4"/>
        <v>김X민</v>
      </c>
    </row>
    <row r="36" spans="2:5">
      <c r="B36" s="224" t="s">
        <v>2373</v>
      </c>
      <c r="C36" t="s">
        <v>82</v>
      </c>
      <c r="E36" t="str">
        <f t="shared" si="4"/>
        <v>정X준</v>
      </c>
    </row>
    <row r="37" spans="2:5">
      <c r="B37" s="224" t="s">
        <v>2374</v>
      </c>
      <c r="C37" t="s">
        <v>171</v>
      </c>
      <c r="E37" t="str">
        <f t="shared" si="4"/>
        <v>이X식</v>
      </c>
    </row>
    <row r="38" spans="2:5">
      <c r="B38" s="224" t="s">
        <v>2375</v>
      </c>
      <c r="C38" t="s">
        <v>172</v>
      </c>
      <c r="E38" t="str">
        <f t="shared" si="4"/>
        <v>김X민</v>
      </c>
    </row>
    <row r="39" spans="2:5">
      <c r="B39" s="224" t="s">
        <v>2376</v>
      </c>
      <c r="C39" t="s">
        <v>82</v>
      </c>
      <c r="E39" t="str">
        <f t="shared" si="4"/>
        <v>정X준</v>
      </c>
    </row>
    <row r="40" spans="2:5">
      <c r="B40" s="224" t="s">
        <v>2377</v>
      </c>
      <c r="C40" t="s">
        <v>171</v>
      </c>
      <c r="E40" t="str">
        <f t="shared" si="4"/>
        <v>이X식</v>
      </c>
    </row>
    <row r="41" spans="2:5">
      <c r="B41" s="224" t="s">
        <v>2378</v>
      </c>
      <c r="C41" t="s">
        <v>172</v>
      </c>
      <c r="E41" t="str">
        <f t="shared" si="4"/>
        <v>김X민</v>
      </c>
    </row>
    <row r="42" spans="2:5">
      <c r="B42" s="224" t="s">
        <v>2379</v>
      </c>
      <c r="C42" t="s">
        <v>82</v>
      </c>
      <c r="E42" t="str">
        <f t="shared" si="4"/>
        <v>정X준</v>
      </c>
    </row>
    <row r="43" spans="2:5">
      <c r="B43" s="224" t="s">
        <v>2380</v>
      </c>
      <c r="C43" t="s">
        <v>171</v>
      </c>
      <c r="E43" t="str">
        <f t="shared" si="4"/>
        <v>이X식</v>
      </c>
    </row>
    <row r="44" spans="2:5">
      <c r="B44" s="224" t="s">
        <v>2381</v>
      </c>
      <c r="C44" t="s">
        <v>172</v>
      </c>
      <c r="E44" t="str">
        <f t="shared" si="4"/>
        <v>김X민</v>
      </c>
    </row>
    <row r="45" spans="2:5">
      <c r="B45" s="224" t="s">
        <v>2382</v>
      </c>
      <c r="C45" t="s">
        <v>82</v>
      </c>
      <c r="E45" t="str">
        <f t="shared" si="4"/>
        <v>정X준</v>
      </c>
    </row>
    <row r="46" spans="2:5">
      <c r="B46" s="224" t="s">
        <v>2383</v>
      </c>
      <c r="C46" t="s">
        <v>171</v>
      </c>
      <c r="E46" t="str">
        <f t="shared" si="4"/>
        <v>이X식</v>
      </c>
    </row>
    <row r="47" spans="2:5">
      <c r="B47" s="224" t="s">
        <v>2384</v>
      </c>
      <c r="C47" t="s">
        <v>172</v>
      </c>
      <c r="E47" t="str">
        <f t="shared" si="4"/>
        <v>김X민</v>
      </c>
    </row>
    <row r="48" spans="2:5">
      <c r="B48" s="224" t="s">
        <v>2385</v>
      </c>
      <c r="C48" t="s">
        <v>82</v>
      </c>
      <c r="E48" t="str">
        <f t="shared" si="4"/>
        <v>정X준</v>
      </c>
    </row>
    <row r="49" spans="2:5">
      <c r="B49" s="224" t="s">
        <v>2386</v>
      </c>
      <c r="C49" t="s">
        <v>171</v>
      </c>
      <c r="E49" t="str">
        <f t="shared" si="4"/>
        <v>이X식</v>
      </c>
    </row>
    <row r="50" spans="2:5">
      <c r="B50" s="224" t="s">
        <v>2387</v>
      </c>
      <c r="C50" t="s">
        <v>172</v>
      </c>
      <c r="E50" t="str">
        <f t="shared" si="4"/>
        <v>김X민</v>
      </c>
    </row>
    <row r="51" spans="2:5">
      <c r="B51" s="224" t="s">
        <v>2388</v>
      </c>
      <c r="C51" t="s">
        <v>82</v>
      </c>
      <c r="E51" t="str">
        <f t="shared" si="4"/>
        <v>정X준</v>
      </c>
    </row>
    <row r="52" spans="2:5">
      <c r="B52" s="224" t="s">
        <v>2389</v>
      </c>
      <c r="C52" t="s">
        <v>171</v>
      </c>
      <c r="E52" t="str">
        <f t="shared" si="4"/>
        <v>이X식</v>
      </c>
    </row>
    <row r="53" spans="2:5">
      <c r="B53" s="224" t="s">
        <v>2390</v>
      </c>
      <c r="C53" t="s">
        <v>172</v>
      </c>
      <c r="E53" t="str">
        <f t="shared" si="4"/>
        <v>김X민</v>
      </c>
    </row>
    <row r="54" spans="2:5">
      <c r="B54" s="224" t="s">
        <v>2391</v>
      </c>
      <c r="C54" t="s">
        <v>82</v>
      </c>
      <c r="E54" t="str">
        <f t="shared" si="4"/>
        <v>정X준</v>
      </c>
    </row>
    <row r="55" spans="2:5">
      <c r="B55" s="224" t="s">
        <v>2392</v>
      </c>
      <c r="C55" t="s">
        <v>171</v>
      </c>
      <c r="E55" t="str">
        <f t="shared" si="4"/>
        <v>이X식</v>
      </c>
    </row>
    <row r="56" spans="2:5">
      <c r="B56" s="224" t="s">
        <v>2393</v>
      </c>
      <c r="C56" t="s">
        <v>172</v>
      </c>
      <c r="E56" t="str">
        <f t="shared" si="4"/>
        <v>김X민</v>
      </c>
    </row>
    <row r="57" spans="2:5">
      <c r="B57" s="224" t="s">
        <v>2394</v>
      </c>
      <c r="C57" t="s">
        <v>82</v>
      </c>
      <c r="E57" t="str">
        <f t="shared" si="4"/>
        <v>정X준</v>
      </c>
    </row>
    <row r="58" spans="2:5">
      <c r="B58" s="224" t="s">
        <v>2395</v>
      </c>
      <c r="C58" t="s">
        <v>171</v>
      </c>
      <c r="E58" t="str">
        <f t="shared" si="4"/>
        <v>이X식</v>
      </c>
    </row>
    <row r="59" spans="2:5">
      <c r="B59" s="224" t="s">
        <v>2396</v>
      </c>
      <c r="C59" t="s">
        <v>172</v>
      </c>
      <c r="E59" t="str">
        <f t="shared" si="4"/>
        <v>김X민</v>
      </c>
    </row>
    <row r="60" spans="2:5">
      <c r="B60" s="224" t="s">
        <v>2397</v>
      </c>
      <c r="C60" t="s">
        <v>82</v>
      </c>
      <c r="E60" t="str">
        <f t="shared" si="4"/>
        <v>정X준</v>
      </c>
    </row>
    <row r="61" spans="2:5">
      <c r="B61" s="224" t="s">
        <v>2398</v>
      </c>
      <c r="C61" t="s">
        <v>171</v>
      </c>
      <c r="E61" t="str">
        <f t="shared" si="4"/>
        <v>이X식</v>
      </c>
    </row>
    <row r="62" spans="2:5">
      <c r="B62" s="224" t="s">
        <v>2399</v>
      </c>
      <c r="C62" t="s">
        <v>172</v>
      </c>
      <c r="E62" t="str">
        <f t="shared" si="4"/>
        <v>김X민</v>
      </c>
    </row>
    <row r="63" spans="2:5">
      <c r="B63" s="224" t="s">
        <v>2400</v>
      </c>
      <c r="C63" t="s">
        <v>82</v>
      </c>
      <c r="E63" t="str">
        <f t="shared" si="4"/>
        <v>정X준</v>
      </c>
    </row>
    <row r="64" spans="2:5">
      <c r="B64" s="224" t="s">
        <v>2401</v>
      </c>
      <c r="C64" t="s">
        <v>171</v>
      </c>
      <c r="E64" t="str">
        <f t="shared" si="4"/>
        <v>이X식</v>
      </c>
    </row>
    <row r="65" spans="2:5">
      <c r="B65" s="224" t="s">
        <v>2402</v>
      </c>
      <c r="C65" t="s">
        <v>172</v>
      </c>
      <c r="E65" t="str">
        <f t="shared" si="4"/>
        <v>김X민</v>
      </c>
    </row>
    <row r="66" spans="2:5">
      <c r="B66" s="224" t="s">
        <v>2403</v>
      </c>
      <c r="C66" t="s">
        <v>82</v>
      </c>
      <c r="E66" t="str">
        <f t="shared" si="4"/>
        <v>정X준</v>
      </c>
    </row>
    <row r="67" spans="2:5">
      <c r="B67" s="224" t="s">
        <v>2404</v>
      </c>
      <c r="C67" t="s">
        <v>171</v>
      </c>
      <c r="E67" t="str">
        <f t="shared" si="4"/>
        <v>이X식</v>
      </c>
    </row>
    <row r="68" spans="2:5">
      <c r="B68" s="224" t="s">
        <v>2405</v>
      </c>
      <c r="C68" t="s">
        <v>172</v>
      </c>
      <c r="E68" t="str">
        <f t="shared" ref="E68:E131" si="5">REPLACE(C68,2,1,"X")</f>
        <v>김X민</v>
      </c>
    </row>
    <row r="69" spans="2:5">
      <c r="B69" s="224" t="s">
        <v>2406</v>
      </c>
      <c r="C69" t="s">
        <v>82</v>
      </c>
      <c r="E69" t="str">
        <f t="shared" si="5"/>
        <v>정X준</v>
      </c>
    </row>
    <row r="70" spans="2:5">
      <c r="B70" s="224" t="s">
        <v>2407</v>
      </c>
      <c r="C70" t="s">
        <v>171</v>
      </c>
      <c r="E70" t="str">
        <f t="shared" si="5"/>
        <v>이X식</v>
      </c>
    </row>
    <row r="71" spans="2:5">
      <c r="B71" s="224" t="s">
        <v>2408</v>
      </c>
      <c r="C71" t="s">
        <v>172</v>
      </c>
      <c r="E71" t="str">
        <f t="shared" si="5"/>
        <v>김X민</v>
      </c>
    </row>
    <row r="72" spans="2:5">
      <c r="B72" s="224" t="s">
        <v>2409</v>
      </c>
      <c r="C72" t="s">
        <v>82</v>
      </c>
      <c r="E72" t="str">
        <f t="shared" si="5"/>
        <v>정X준</v>
      </c>
    </row>
    <row r="73" spans="2:5">
      <c r="B73" s="224" t="s">
        <v>2410</v>
      </c>
      <c r="C73" t="s">
        <v>171</v>
      </c>
      <c r="E73" t="str">
        <f t="shared" si="5"/>
        <v>이X식</v>
      </c>
    </row>
    <row r="74" spans="2:5">
      <c r="B74" s="224" t="s">
        <v>2411</v>
      </c>
      <c r="C74" t="s">
        <v>172</v>
      </c>
      <c r="E74" t="str">
        <f t="shared" si="5"/>
        <v>김X민</v>
      </c>
    </row>
    <row r="75" spans="2:5">
      <c r="B75" s="224" t="s">
        <v>2412</v>
      </c>
      <c r="C75" t="s">
        <v>82</v>
      </c>
      <c r="E75" t="str">
        <f t="shared" si="5"/>
        <v>정X준</v>
      </c>
    </row>
    <row r="76" spans="2:5">
      <c r="B76" s="224" t="s">
        <v>2413</v>
      </c>
      <c r="C76" t="s">
        <v>171</v>
      </c>
      <c r="E76" t="str">
        <f t="shared" si="5"/>
        <v>이X식</v>
      </c>
    </row>
    <row r="77" spans="2:5">
      <c r="B77" s="224" t="s">
        <v>2414</v>
      </c>
      <c r="C77" t="s">
        <v>172</v>
      </c>
      <c r="E77" t="str">
        <f t="shared" si="5"/>
        <v>김X민</v>
      </c>
    </row>
    <row r="78" spans="2:5">
      <c r="B78" s="224" t="s">
        <v>2415</v>
      </c>
      <c r="C78" t="s">
        <v>82</v>
      </c>
      <c r="E78" t="str">
        <f t="shared" si="5"/>
        <v>정X준</v>
      </c>
    </row>
    <row r="79" spans="2:5">
      <c r="B79" s="224" t="s">
        <v>2416</v>
      </c>
      <c r="C79" t="s">
        <v>171</v>
      </c>
      <c r="E79" t="str">
        <f t="shared" si="5"/>
        <v>이X식</v>
      </c>
    </row>
    <row r="80" spans="2:5">
      <c r="B80" s="224" t="s">
        <v>2417</v>
      </c>
      <c r="C80" t="s">
        <v>172</v>
      </c>
      <c r="E80" t="str">
        <f t="shared" si="5"/>
        <v>김X민</v>
      </c>
    </row>
    <row r="81" spans="2:5">
      <c r="B81" s="224" t="s">
        <v>2418</v>
      </c>
      <c r="C81" t="s">
        <v>82</v>
      </c>
      <c r="E81" t="str">
        <f t="shared" si="5"/>
        <v>정X준</v>
      </c>
    </row>
    <row r="82" spans="2:5">
      <c r="B82" s="224" t="s">
        <v>2419</v>
      </c>
      <c r="C82" t="s">
        <v>171</v>
      </c>
      <c r="E82" t="str">
        <f t="shared" si="5"/>
        <v>이X식</v>
      </c>
    </row>
    <row r="83" spans="2:5">
      <c r="B83" s="224" t="s">
        <v>2420</v>
      </c>
      <c r="C83" t="s">
        <v>172</v>
      </c>
      <c r="E83" t="str">
        <f t="shared" si="5"/>
        <v>김X민</v>
      </c>
    </row>
    <row r="84" spans="2:5">
      <c r="B84" s="224" t="s">
        <v>2421</v>
      </c>
      <c r="C84" t="s">
        <v>82</v>
      </c>
      <c r="E84" t="str">
        <f t="shared" si="5"/>
        <v>정X준</v>
      </c>
    </row>
    <row r="85" spans="2:5">
      <c r="B85" s="224" t="s">
        <v>2422</v>
      </c>
      <c r="C85" t="s">
        <v>171</v>
      </c>
      <c r="E85" t="str">
        <f t="shared" si="5"/>
        <v>이X식</v>
      </c>
    </row>
    <row r="86" spans="2:5">
      <c r="B86" s="224" t="s">
        <v>2423</v>
      </c>
      <c r="C86" t="s">
        <v>172</v>
      </c>
      <c r="E86" t="str">
        <f t="shared" si="5"/>
        <v>김X민</v>
      </c>
    </row>
    <row r="87" spans="2:5">
      <c r="B87" s="224" t="s">
        <v>2424</v>
      </c>
      <c r="C87" t="s">
        <v>82</v>
      </c>
      <c r="E87" t="str">
        <f t="shared" si="5"/>
        <v>정X준</v>
      </c>
    </row>
    <row r="88" spans="2:5">
      <c r="B88" s="224" t="s">
        <v>2425</v>
      </c>
      <c r="C88" t="s">
        <v>171</v>
      </c>
      <c r="E88" t="str">
        <f t="shared" si="5"/>
        <v>이X식</v>
      </c>
    </row>
    <row r="89" spans="2:5">
      <c r="B89" s="224" t="s">
        <v>2426</v>
      </c>
      <c r="C89" t="s">
        <v>172</v>
      </c>
      <c r="E89" t="str">
        <f t="shared" si="5"/>
        <v>김X민</v>
      </c>
    </row>
    <row r="90" spans="2:5">
      <c r="B90" s="224" t="s">
        <v>2427</v>
      </c>
      <c r="C90" t="s">
        <v>82</v>
      </c>
      <c r="E90" t="str">
        <f t="shared" si="5"/>
        <v>정X준</v>
      </c>
    </row>
    <row r="91" spans="2:5">
      <c r="B91" s="224" t="s">
        <v>2428</v>
      </c>
      <c r="C91" t="s">
        <v>171</v>
      </c>
      <c r="E91" t="str">
        <f t="shared" si="5"/>
        <v>이X식</v>
      </c>
    </row>
    <row r="92" spans="2:5">
      <c r="B92" s="224" t="s">
        <v>2429</v>
      </c>
      <c r="C92" t="s">
        <v>172</v>
      </c>
      <c r="E92" t="str">
        <f t="shared" si="5"/>
        <v>김X민</v>
      </c>
    </row>
    <row r="93" spans="2:5">
      <c r="B93" s="224" t="s">
        <v>2430</v>
      </c>
      <c r="C93" t="s">
        <v>82</v>
      </c>
      <c r="E93" t="str">
        <f t="shared" si="5"/>
        <v>정X준</v>
      </c>
    </row>
    <row r="94" spans="2:5">
      <c r="B94" s="224" t="s">
        <v>2431</v>
      </c>
      <c r="C94" t="s">
        <v>171</v>
      </c>
      <c r="E94" t="str">
        <f t="shared" si="5"/>
        <v>이X식</v>
      </c>
    </row>
    <row r="95" spans="2:5">
      <c r="B95" s="224" t="s">
        <v>2432</v>
      </c>
      <c r="C95" t="s">
        <v>172</v>
      </c>
      <c r="E95" t="str">
        <f t="shared" si="5"/>
        <v>김X민</v>
      </c>
    </row>
    <row r="96" spans="2:5">
      <c r="B96" s="224" t="s">
        <v>2433</v>
      </c>
      <c r="C96" t="s">
        <v>82</v>
      </c>
      <c r="E96" t="str">
        <f t="shared" si="5"/>
        <v>정X준</v>
      </c>
    </row>
    <row r="97" spans="2:5">
      <c r="B97" s="224" t="s">
        <v>2434</v>
      </c>
      <c r="C97" t="s">
        <v>171</v>
      </c>
      <c r="E97" t="str">
        <f t="shared" si="5"/>
        <v>이X식</v>
      </c>
    </row>
    <row r="98" spans="2:5">
      <c r="B98" s="224" t="s">
        <v>2435</v>
      </c>
      <c r="C98" t="s">
        <v>172</v>
      </c>
      <c r="E98" t="str">
        <f t="shared" si="5"/>
        <v>김X민</v>
      </c>
    </row>
    <row r="99" spans="2:5">
      <c r="B99" s="224" t="s">
        <v>2436</v>
      </c>
      <c r="C99" t="s">
        <v>82</v>
      </c>
      <c r="E99" t="str">
        <f t="shared" si="5"/>
        <v>정X준</v>
      </c>
    </row>
    <row r="100" spans="2:5">
      <c r="B100" s="224" t="s">
        <v>2437</v>
      </c>
      <c r="C100" t="s">
        <v>171</v>
      </c>
      <c r="E100" t="str">
        <f t="shared" si="5"/>
        <v>이X식</v>
      </c>
    </row>
    <row r="101" spans="2:5">
      <c r="B101" s="224" t="s">
        <v>2438</v>
      </c>
      <c r="C101" t="s">
        <v>172</v>
      </c>
      <c r="E101" t="str">
        <f t="shared" si="5"/>
        <v>김X민</v>
      </c>
    </row>
    <row r="102" spans="2:5">
      <c r="B102" s="224" t="s">
        <v>2439</v>
      </c>
      <c r="C102" t="s">
        <v>82</v>
      </c>
      <c r="E102" t="str">
        <f t="shared" si="5"/>
        <v>정X준</v>
      </c>
    </row>
    <row r="103" spans="2:5">
      <c r="B103" s="224" t="s">
        <v>2440</v>
      </c>
      <c r="C103" t="s">
        <v>171</v>
      </c>
      <c r="E103" t="str">
        <f t="shared" si="5"/>
        <v>이X식</v>
      </c>
    </row>
    <row r="104" spans="2:5">
      <c r="B104" s="224" t="s">
        <v>2441</v>
      </c>
      <c r="C104" t="s">
        <v>172</v>
      </c>
      <c r="E104" t="str">
        <f t="shared" si="5"/>
        <v>김X민</v>
      </c>
    </row>
    <row r="105" spans="2:5">
      <c r="B105" s="224" t="s">
        <v>2442</v>
      </c>
      <c r="C105" t="s">
        <v>82</v>
      </c>
      <c r="E105" t="str">
        <f t="shared" si="5"/>
        <v>정X준</v>
      </c>
    </row>
    <row r="106" spans="2:5">
      <c r="B106" s="224" t="s">
        <v>2443</v>
      </c>
      <c r="C106" t="s">
        <v>171</v>
      </c>
      <c r="E106" t="str">
        <f t="shared" si="5"/>
        <v>이X식</v>
      </c>
    </row>
    <row r="107" spans="2:5">
      <c r="B107" s="224" t="s">
        <v>2444</v>
      </c>
      <c r="C107" t="s">
        <v>172</v>
      </c>
      <c r="E107" t="str">
        <f t="shared" si="5"/>
        <v>김X민</v>
      </c>
    </row>
    <row r="108" spans="2:5">
      <c r="B108" s="224" t="s">
        <v>2445</v>
      </c>
      <c r="C108" t="s">
        <v>82</v>
      </c>
      <c r="E108" t="str">
        <f t="shared" si="5"/>
        <v>정X준</v>
      </c>
    </row>
    <row r="109" spans="2:5">
      <c r="B109" s="224" t="s">
        <v>2446</v>
      </c>
      <c r="C109" t="s">
        <v>171</v>
      </c>
      <c r="E109" t="str">
        <f t="shared" si="5"/>
        <v>이X식</v>
      </c>
    </row>
    <row r="110" spans="2:5">
      <c r="B110" s="224" t="s">
        <v>2447</v>
      </c>
      <c r="C110" t="s">
        <v>172</v>
      </c>
      <c r="E110" t="str">
        <f t="shared" si="5"/>
        <v>김X민</v>
      </c>
    </row>
    <row r="111" spans="2:5">
      <c r="B111" s="224" t="s">
        <v>2448</v>
      </c>
      <c r="C111" t="s">
        <v>82</v>
      </c>
      <c r="E111" t="str">
        <f t="shared" si="5"/>
        <v>정X준</v>
      </c>
    </row>
    <row r="112" spans="2:5">
      <c r="B112" s="224" t="s">
        <v>2449</v>
      </c>
      <c r="C112" t="s">
        <v>171</v>
      </c>
      <c r="E112" t="str">
        <f t="shared" si="5"/>
        <v>이X식</v>
      </c>
    </row>
    <row r="113" spans="2:5">
      <c r="B113" s="224" t="s">
        <v>2450</v>
      </c>
      <c r="C113" t="s">
        <v>172</v>
      </c>
      <c r="E113" t="str">
        <f t="shared" si="5"/>
        <v>김X민</v>
      </c>
    </row>
    <row r="114" spans="2:5">
      <c r="B114" s="224" t="s">
        <v>2451</v>
      </c>
      <c r="C114" t="s">
        <v>82</v>
      </c>
      <c r="E114" t="str">
        <f t="shared" si="5"/>
        <v>정X준</v>
      </c>
    </row>
    <row r="115" spans="2:5">
      <c r="B115" s="224" t="s">
        <v>2452</v>
      </c>
      <c r="C115" t="s">
        <v>171</v>
      </c>
      <c r="E115" t="str">
        <f t="shared" si="5"/>
        <v>이X식</v>
      </c>
    </row>
    <row r="116" spans="2:5">
      <c r="B116" s="224" t="s">
        <v>2453</v>
      </c>
      <c r="C116" t="s">
        <v>172</v>
      </c>
      <c r="E116" t="str">
        <f t="shared" si="5"/>
        <v>김X민</v>
      </c>
    </row>
    <row r="117" spans="2:5">
      <c r="B117" s="224" t="s">
        <v>2454</v>
      </c>
      <c r="C117" t="s">
        <v>82</v>
      </c>
      <c r="E117" t="str">
        <f t="shared" si="5"/>
        <v>정X준</v>
      </c>
    </row>
    <row r="118" spans="2:5">
      <c r="B118" s="224" t="s">
        <v>2455</v>
      </c>
      <c r="C118" t="s">
        <v>171</v>
      </c>
      <c r="E118" t="str">
        <f t="shared" si="5"/>
        <v>이X식</v>
      </c>
    </row>
    <row r="119" spans="2:5">
      <c r="B119" s="224" t="s">
        <v>2456</v>
      </c>
      <c r="C119" t="s">
        <v>172</v>
      </c>
      <c r="E119" t="str">
        <f t="shared" si="5"/>
        <v>김X민</v>
      </c>
    </row>
    <row r="120" spans="2:5">
      <c r="B120" s="224" t="s">
        <v>2457</v>
      </c>
      <c r="C120" t="s">
        <v>82</v>
      </c>
      <c r="E120" t="str">
        <f t="shared" si="5"/>
        <v>정X준</v>
      </c>
    </row>
    <row r="121" spans="2:5">
      <c r="B121" s="224" t="s">
        <v>2458</v>
      </c>
      <c r="C121" t="s">
        <v>171</v>
      </c>
      <c r="E121" t="str">
        <f t="shared" si="5"/>
        <v>이X식</v>
      </c>
    </row>
    <row r="122" spans="2:5">
      <c r="B122" s="224" t="s">
        <v>2459</v>
      </c>
      <c r="C122" t="s">
        <v>172</v>
      </c>
      <c r="E122" t="str">
        <f t="shared" si="5"/>
        <v>김X민</v>
      </c>
    </row>
    <row r="123" spans="2:5">
      <c r="B123" s="224" t="s">
        <v>2460</v>
      </c>
      <c r="C123" t="s">
        <v>82</v>
      </c>
      <c r="E123" t="str">
        <f t="shared" si="5"/>
        <v>정X준</v>
      </c>
    </row>
    <row r="124" spans="2:5">
      <c r="B124" s="224" t="s">
        <v>2461</v>
      </c>
      <c r="C124" t="s">
        <v>171</v>
      </c>
      <c r="E124" t="str">
        <f t="shared" si="5"/>
        <v>이X식</v>
      </c>
    </row>
    <row r="125" spans="2:5">
      <c r="B125" s="224" t="s">
        <v>2462</v>
      </c>
      <c r="C125" t="s">
        <v>172</v>
      </c>
      <c r="E125" t="str">
        <f t="shared" si="5"/>
        <v>김X민</v>
      </c>
    </row>
    <row r="126" spans="2:5">
      <c r="B126" s="224" t="s">
        <v>2463</v>
      </c>
      <c r="C126" t="s">
        <v>82</v>
      </c>
      <c r="E126" t="str">
        <f t="shared" si="5"/>
        <v>정X준</v>
      </c>
    </row>
    <row r="127" spans="2:5">
      <c r="B127" s="224" t="s">
        <v>2464</v>
      </c>
      <c r="C127" t="s">
        <v>171</v>
      </c>
      <c r="E127" t="str">
        <f t="shared" si="5"/>
        <v>이X식</v>
      </c>
    </row>
    <row r="128" spans="2:5">
      <c r="B128" s="224" t="s">
        <v>2465</v>
      </c>
      <c r="C128" t="s">
        <v>172</v>
      </c>
      <c r="E128" t="str">
        <f t="shared" si="5"/>
        <v>김X민</v>
      </c>
    </row>
    <row r="129" spans="2:5">
      <c r="B129" s="224" t="s">
        <v>2466</v>
      </c>
      <c r="C129" t="s">
        <v>82</v>
      </c>
      <c r="E129" t="str">
        <f t="shared" si="5"/>
        <v>정X준</v>
      </c>
    </row>
    <row r="130" spans="2:5">
      <c r="B130" s="224" t="s">
        <v>2467</v>
      </c>
      <c r="C130" t="s">
        <v>171</v>
      </c>
      <c r="E130" t="str">
        <f t="shared" si="5"/>
        <v>이X식</v>
      </c>
    </row>
    <row r="131" spans="2:5">
      <c r="B131" s="224" t="s">
        <v>2468</v>
      </c>
      <c r="C131" t="s">
        <v>172</v>
      </c>
      <c r="E131" t="str">
        <f t="shared" si="5"/>
        <v>김X민</v>
      </c>
    </row>
    <row r="132" spans="2:5">
      <c r="B132" s="224" t="s">
        <v>2469</v>
      </c>
      <c r="C132" t="s">
        <v>82</v>
      </c>
      <c r="E132" t="str">
        <f t="shared" ref="E132:E195" si="6">REPLACE(C132,2,1,"X")</f>
        <v>정X준</v>
      </c>
    </row>
    <row r="133" spans="2:5">
      <c r="B133" s="224" t="s">
        <v>2470</v>
      </c>
      <c r="C133" t="s">
        <v>171</v>
      </c>
      <c r="E133" t="str">
        <f t="shared" si="6"/>
        <v>이X식</v>
      </c>
    </row>
    <row r="134" spans="2:5">
      <c r="B134" s="224" t="s">
        <v>2471</v>
      </c>
      <c r="C134" t="s">
        <v>172</v>
      </c>
      <c r="E134" t="str">
        <f t="shared" si="6"/>
        <v>김X민</v>
      </c>
    </row>
    <row r="135" spans="2:5">
      <c r="B135" s="224" t="s">
        <v>2472</v>
      </c>
      <c r="C135" t="s">
        <v>82</v>
      </c>
      <c r="E135" t="str">
        <f t="shared" si="6"/>
        <v>정X준</v>
      </c>
    </row>
    <row r="136" spans="2:5">
      <c r="B136" s="224" t="s">
        <v>2473</v>
      </c>
      <c r="C136" t="s">
        <v>171</v>
      </c>
      <c r="E136" t="str">
        <f t="shared" si="6"/>
        <v>이X식</v>
      </c>
    </row>
    <row r="137" spans="2:5">
      <c r="B137" s="224" t="s">
        <v>2474</v>
      </c>
      <c r="C137" t="s">
        <v>172</v>
      </c>
      <c r="E137" t="str">
        <f t="shared" si="6"/>
        <v>김X민</v>
      </c>
    </row>
    <row r="138" spans="2:5">
      <c r="B138" s="224" t="s">
        <v>2475</v>
      </c>
      <c r="C138" t="s">
        <v>82</v>
      </c>
      <c r="E138" t="str">
        <f t="shared" si="6"/>
        <v>정X준</v>
      </c>
    </row>
    <row r="139" spans="2:5">
      <c r="B139" s="224" t="s">
        <v>2476</v>
      </c>
      <c r="C139" t="s">
        <v>171</v>
      </c>
      <c r="E139" t="str">
        <f t="shared" si="6"/>
        <v>이X식</v>
      </c>
    </row>
    <row r="140" spans="2:5">
      <c r="B140" s="224" t="s">
        <v>2477</v>
      </c>
      <c r="C140" t="s">
        <v>172</v>
      </c>
      <c r="E140" t="str">
        <f t="shared" si="6"/>
        <v>김X민</v>
      </c>
    </row>
    <row r="141" spans="2:5">
      <c r="B141" s="224" t="s">
        <v>2478</v>
      </c>
      <c r="C141" t="s">
        <v>82</v>
      </c>
      <c r="E141" t="str">
        <f t="shared" si="6"/>
        <v>정X준</v>
      </c>
    </row>
    <row r="142" spans="2:5">
      <c r="B142" s="224" t="s">
        <v>2479</v>
      </c>
      <c r="C142" t="s">
        <v>171</v>
      </c>
      <c r="E142" t="str">
        <f t="shared" si="6"/>
        <v>이X식</v>
      </c>
    </row>
    <row r="143" spans="2:5">
      <c r="B143" s="224" t="s">
        <v>2480</v>
      </c>
      <c r="C143" t="s">
        <v>172</v>
      </c>
      <c r="E143" t="str">
        <f t="shared" si="6"/>
        <v>김X민</v>
      </c>
    </row>
    <row r="144" spans="2:5">
      <c r="B144" s="224" t="s">
        <v>2481</v>
      </c>
      <c r="C144" t="s">
        <v>82</v>
      </c>
      <c r="E144" t="str">
        <f t="shared" si="6"/>
        <v>정X준</v>
      </c>
    </row>
    <row r="145" spans="2:5">
      <c r="B145" s="224" t="s">
        <v>2482</v>
      </c>
      <c r="C145" t="s">
        <v>171</v>
      </c>
      <c r="E145" t="str">
        <f t="shared" si="6"/>
        <v>이X식</v>
      </c>
    </row>
    <row r="146" spans="2:5">
      <c r="B146" s="224" t="s">
        <v>2483</v>
      </c>
      <c r="C146" t="s">
        <v>172</v>
      </c>
      <c r="E146" t="str">
        <f t="shared" si="6"/>
        <v>김X민</v>
      </c>
    </row>
    <row r="147" spans="2:5">
      <c r="B147" s="224" t="s">
        <v>2484</v>
      </c>
      <c r="C147" t="s">
        <v>82</v>
      </c>
      <c r="E147" t="str">
        <f t="shared" si="6"/>
        <v>정X준</v>
      </c>
    </row>
    <row r="148" spans="2:5">
      <c r="B148" s="224" t="s">
        <v>2485</v>
      </c>
      <c r="C148" t="s">
        <v>171</v>
      </c>
      <c r="E148" t="str">
        <f t="shared" si="6"/>
        <v>이X식</v>
      </c>
    </row>
    <row r="149" spans="2:5">
      <c r="B149" s="224" t="s">
        <v>2486</v>
      </c>
      <c r="C149" t="s">
        <v>172</v>
      </c>
      <c r="E149" t="str">
        <f t="shared" si="6"/>
        <v>김X민</v>
      </c>
    </row>
    <row r="150" spans="2:5">
      <c r="B150" s="224" t="s">
        <v>2487</v>
      </c>
      <c r="C150" t="s">
        <v>82</v>
      </c>
      <c r="E150" t="str">
        <f t="shared" si="6"/>
        <v>정X준</v>
      </c>
    </row>
    <row r="151" spans="2:5">
      <c r="B151" s="224" t="s">
        <v>2488</v>
      </c>
      <c r="C151" t="s">
        <v>171</v>
      </c>
      <c r="E151" t="str">
        <f t="shared" si="6"/>
        <v>이X식</v>
      </c>
    </row>
    <row r="152" spans="2:5">
      <c r="B152" s="224" t="s">
        <v>2489</v>
      </c>
      <c r="C152" t="s">
        <v>172</v>
      </c>
      <c r="E152" t="str">
        <f t="shared" si="6"/>
        <v>김X민</v>
      </c>
    </row>
    <row r="153" spans="2:5">
      <c r="B153" s="224" t="s">
        <v>2490</v>
      </c>
      <c r="C153" t="s">
        <v>82</v>
      </c>
      <c r="E153" t="str">
        <f t="shared" si="6"/>
        <v>정X준</v>
      </c>
    </row>
    <row r="154" spans="2:5">
      <c r="B154" s="224" t="s">
        <v>2491</v>
      </c>
      <c r="C154" t="s">
        <v>171</v>
      </c>
      <c r="E154" t="str">
        <f t="shared" si="6"/>
        <v>이X식</v>
      </c>
    </row>
    <row r="155" spans="2:5">
      <c r="B155" s="224" t="s">
        <v>2492</v>
      </c>
      <c r="C155" t="s">
        <v>172</v>
      </c>
      <c r="E155" t="str">
        <f t="shared" si="6"/>
        <v>김X민</v>
      </c>
    </row>
    <row r="156" spans="2:5">
      <c r="B156" s="224" t="s">
        <v>2493</v>
      </c>
      <c r="C156" t="s">
        <v>82</v>
      </c>
      <c r="E156" t="str">
        <f t="shared" si="6"/>
        <v>정X준</v>
      </c>
    </row>
    <row r="157" spans="2:5">
      <c r="B157" s="224" t="s">
        <v>2494</v>
      </c>
      <c r="C157" t="s">
        <v>171</v>
      </c>
      <c r="E157" t="str">
        <f t="shared" si="6"/>
        <v>이X식</v>
      </c>
    </row>
    <row r="158" spans="2:5">
      <c r="B158" s="224" t="s">
        <v>2495</v>
      </c>
      <c r="C158" t="s">
        <v>172</v>
      </c>
      <c r="E158" t="str">
        <f t="shared" si="6"/>
        <v>김X민</v>
      </c>
    </row>
    <row r="159" spans="2:5">
      <c r="B159" s="224" t="s">
        <v>2496</v>
      </c>
      <c r="C159" t="s">
        <v>82</v>
      </c>
      <c r="E159" t="str">
        <f t="shared" si="6"/>
        <v>정X준</v>
      </c>
    </row>
    <row r="160" spans="2:5">
      <c r="B160" s="224" t="s">
        <v>2497</v>
      </c>
      <c r="C160" t="s">
        <v>171</v>
      </c>
      <c r="E160" t="str">
        <f t="shared" si="6"/>
        <v>이X식</v>
      </c>
    </row>
    <row r="161" spans="2:5">
      <c r="B161" s="224" t="s">
        <v>2498</v>
      </c>
      <c r="C161" t="s">
        <v>172</v>
      </c>
      <c r="E161" t="str">
        <f t="shared" si="6"/>
        <v>김X민</v>
      </c>
    </row>
    <row r="162" spans="2:5">
      <c r="B162" s="224" t="s">
        <v>2499</v>
      </c>
      <c r="C162" t="s">
        <v>82</v>
      </c>
      <c r="E162" t="str">
        <f t="shared" si="6"/>
        <v>정X준</v>
      </c>
    </row>
    <row r="163" spans="2:5">
      <c r="B163" s="224" t="s">
        <v>2500</v>
      </c>
      <c r="C163" t="s">
        <v>171</v>
      </c>
      <c r="E163" t="str">
        <f t="shared" si="6"/>
        <v>이X식</v>
      </c>
    </row>
    <row r="164" spans="2:5">
      <c r="B164" s="224" t="s">
        <v>2501</v>
      </c>
      <c r="C164" t="s">
        <v>172</v>
      </c>
      <c r="E164" t="str">
        <f t="shared" si="6"/>
        <v>김X민</v>
      </c>
    </row>
    <row r="165" spans="2:5">
      <c r="B165" s="224" t="s">
        <v>2502</v>
      </c>
      <c r="C165" t="s">
        <v>82</v>
      </c>
      <c r="E165" t="str">
        <f t="shared" si="6"/>
        <v>정X준</v>
      </c>
    </row>
    <row r="166" spans="2:5">
      <c r="B166" s="224" t="s">
        <v>2503</v>
      </c>
      <c r="C166" t="s">
        <v>171</v>
      </c>
      <c r="E166" t="str">
        <f t="shared" si="6"/>
        <v>이X식</v>
      </c>
    </row>
    <row r="167" spans="2:5">
      <c r="B167" s="224" t="s">
        <v>2504</v>
      </c>
      <c r="C167" t="s">
        <v>172</v>
      </c>
      <c r="E167" t="str">
        <f t="shared" si="6"/>
        <v>김X민</v>
      </c>
    </row>
    <row r="168" spans="2:5">
      <c r="B168" s="224" t="s">
        <v>2505</v>
      </c>
      <c r="C168" t="s">
        <v>82</v>
      </c>
      <c r="E168" t="str">
        <f t="shared" si="6"/>
        <v>정X준</v>
      </c>
    </row>
    <row r="169" spans="2:5">
      <c r="B169" s="224" t="s">
        <v>2506</v>
      </c>
      <c r="C169" t="s">
        <v>171</v>
      </c>
      <c r="E169" t="str">
        <f t="shared" si="6"/>
        <v>이X식</v>
      </c>
    </row>
    <row r="170" spans="2:5">
      <c r="B170" s="224" t="s">
        <v>2507</v>
      </c>
      <c r="C170" t="s">
        <v>172</v>
      </c>
      <c r="E170" t="str">
        <f t="shared" si="6"/>
        <v>김X민</v>
      </c>
    </row>
    <row r="171" spans="2:5">
      <c r="B171" s="224" t="s">
        <v>2508</v>
      </c>
      <c r="C171" t="s">
        <v>82</v>
      </c>
      <c r="E171" t="str">
        <f t="shared" si="6"/>
        <v>정X준</v>
      </c>
    </row>
    <row r="172" spans="2:5">
      <c r="B172" s="224" t="s">
        <v>2509</v>
      </c>
      <c r="C172" t="s">
        <v>171</v>
      </c>
      <c r="E172" t="str">
        <f t="shared" si="6"/>
        <v>이X식</v>
      </c>
    </row>
    <row r="173" spans="2:5">
      <c r="B173" s="224" t="s">
        <v>2510</v>
      </c>
      <c r="C173" t="s">
        <v>172</v>
      </c>
      <c r="E173" t="str">
        <f t="shared" si="6"/>
        <v>김X민</v>
      </c>
    </row>
    <row r="174" spans="2:5">
      <c r="B174" s="224" t="s">
        <v>2511</v>
      </c>
      <c r="C174" t="s">
        <v>82</v>
      </c>
      <c r="E174" t="str">
        <f t="shared" si="6"/>
        <v>정X준</v>
      </c>
    </row>
    <row r="175" spans="2:5">
      <c r="B175" s="224" t="s">
        <v>2512</v>
      </c>
      <c r="C175" t="s">
        <v>171</v>
      </c>
      <c r="E175" t="str">
        <f t="shared" si="6"/>
        <v>이X식</v>
      </c>
    </row>
    <row r="176" spans="2:5">
      <c r="B176" s="224" t="s">
        <v>2513</v>
      </c>
      <c r="C176" t="s">
        <v>172</v>
      </c>
      <c r="E176" t="str">
        <f t="shared" si="6"/>
        <v>김X민</v>
      </c>
    </row>
    <row r="177" spans="2:5">
      <c r="B177" s="224" t="s">
        <v>2514</v>
      </c>
      <c r="C177" t="s">
        <v>82</v>
      </c>
      <c r="E177" t="str">
        <f t="shared" si="6"/>
        <v>정X준</v>
      </c>
    </row>
    <row r="178" spans="2:5">
      <c r="B178" s="224" t="s">
        <v>2515</v>
      </c>
      <c r="C178" t="s">
        <v>171</v>
      </c>
      <c r="E178" t="str">
        <f t="shared" si="6"/>
        <v>이X식</v>
      </c>
    </row>
    <row r="179" spans="2:5">
      <c r="B179" s="224" t="s">
        <v>2516</v>
      </c>
      <c r="C179" t="s">
        <v>172</v>
      </c>
      <c r="E179" t="str">
        <f t="shared" si="6"/>
        <v>김X민</v>
      </c>
    </row>
    <row r="180" spans="2:5">
      <c r="B180" s="224" t="s">
        <v>2517</v>
      </c>
      <c r="C180" t="s">
        <v>82</v>
      </c>
      <c r="E180" t="str">
        <f t="shared" si="6"/>
        <v>정X준</v>
      </c>
    </row>
    <row r="181" spans="2:5">
      <c r="B181" s="224" t="s">
        <v>2518</v>
      </c>
      <c r="C181" t="s">
        <v>171</v>
      </c>
      <c r="E181" t="str">
        <f t="shared" si="6"/>
        <v>이X식</v>
      </c>
    </row>
    <row r="182" spans="2:5">
      <c r="B182" s="224" t="s">
        <v>2519</v>
      </c>
      <c r="C182" t="s">
        <v>172</v>
      </c>
      <c r="E182" t="str">
        <f t="shared" si="6"/>
        <v>김X민</v>
      </c>
    </row>
    <row r="183" spans="2:5">
      <c r="B183" s="224" t="s">
        <v>2520</v>
      </c>
      <c r="C183" t="s">
        <v>82</v>
      </c>
      <c r="E183" t="str">
        <f t="shared" si="6"/>
        <v>정X준</v>
      </c>
    </row>
    <row r="184" spans="2:5">
      <c r="B184" s="224" t="s">
        <v>2521</v>
      </c>
      <c r="C184" t="s">
        <v>171</v>
      </c>
      <c r="E184" t="str">
        <f t="shared" si="6"/>
        <v>이X식</v>
      </c>
    </row>
    <row r="185" spans="2:5">
      <c r="B185" s="224" t="s">
        <v>2522</v>
      </c>
      <c r="C185" t="s">
        <v>172</v>
      </c>
      <c r="E185" t="str">
        <f t="shared" si="6"/>
        <v>김X민</v>
      </c>
    </row>
    <row r="186" spans="2:5">
      <c r="B186" s="224" t="s">
        <v>2523</v>
      </c>
      <c r="C186" t="s">
        <v>82</v>
      </c>
      <c r="E186" t="str">
        <f t="shared" si="6"/>
        <v>정X준</v>
      </c>
    </row>
    <row r="187" spans="2:5">
      <c r="B187" s="224" t="s">
        <v>2524</v>
      </c>
      <c r="C187" t="s">
        <v>171</v>
      </c>
      <c r="E187" t="str">
        <f t="shared" si="6"/>
        <v>이X식</v>
      </c>
    </row>
    <row r="188" spans="2:5">
      <c r="B188" s="224" t="s">
        <v>2525</v>
      </c>
      <c r="C188" t="s">
        <v>172</v>
      </c>
      <c r="E188" t="str">
        <f t="shared" si="6"/>
        <v>김X민</v>
      </c>
    </row>
    <row r="189" spans="2:5">
      <c r="B189" s="224" t="s">
        <v>2526</v>
      </c>
      <c r="C189" t="s">
        <v>82</v>
      </c>
      <c r="E189" t="str">
        <f t="shared" si="6"/>
        <v>정X준</v>
      </c>
    </row>
    <row r="190" spans="2:5">
      <c r="B190" s="224" t="s">
        <v>2527</v>
      </c>
      <c r="C190" t="s">
        <v>171</v>
      </c>
      <c r="E190" t="str">
        <f t="shared" si="6"/>
        <v>이X식</v>
      </c>
    </row>
    <row r="191" spans="2:5">
      <c r="B191" s="224" t="s">
        <v>2528</v>
      </c>
      <c r="C191" t="s">
        <v>172</v>
      </c>
      <c r="E191" t="str">
        <f t="shared" si="6"/>
        <v>김X민</v>
      </c>
    </row>
    <row r="192" spans="2:5">
      <c r="B192" s="224" t="s">
        <v>2529</v>
      </c>
      <c r="C192" t="s">
        <v>82</v>
      </c>
      <c r="E192" t="str">
        <f t="shared" si="6"/>
        <v>정X준</v>
      </c>
    </row>
    <row r="193" spans="2:5">
      <c r="B193" s="224" t="s">
        <v>2530</v>
      </c>
      <c r="C193" t="s">
        <v>171</v>
      </c>
      <c r="E193" t="str">
        <f t="shared" si="6"/>
        <v>이X식</v>
      </c>
    </row>
    <row r="194" spans="2:5">
      <c r="B194" s="224" t="s">
        <v>2531</v>
      </c>
      <c r="C194" t="s">
        <v>172</v>
      </c>
      <c r="E194" t="str">
        <f t="shared" si="6"/>
        <v>김X민</v>
      </c>
    </row>
    <row r="195" spans="2:5">
      <c r="B195" s="224" t="s">
        <v>2532</v>
      </c>
      <c r="C195" t="s">
        <v>82</v>
      </c>
      <c r="E195" t="str">
        <f t="shared" si="6"/>
        <v>정X준</v>
      </c>
    </row>
    <row r="196" spans="2:5">
      <c r="B196" s="224" t="s">
        <v>2533</v>
      </c>
      <c r="C196" t="s">
        <v>171</v>
      </c>
      <c r="E196" t="str">
        <f t="shared" ref="E196:E259" si="7">REPLACE(C196,2,1,"X")</f>
        <v>이X식</v>
      </c>
    </row>
    <row r="197" spans="2:5">
      <c r="B197" s="224" t="s">
        <v>2534</v>
      </c>
      <c r="C197" t="s">
        <v>172</v>
      </c>
      <c r="E197" t="str">
        <f t="shared" si="7"/>
        <v>김X민</v>
      </c>
    </row>
    <row r="198" spans="2:5">
      <c r="B198" s="224" t="s">
        <v>2535</v>
      </c>
      <c r="C198" t="s">
        <v>82</v>
      </c>
      <c r="E198" t="str">
        <f t="shared" si="7"/>
        <v>정X준</v>
      </c>
    </row>
    <row r="199" spans="2:5">
      <c r="B199" s="224" t="s">
        <v>2536</v>
      </c>
      <c r="C199" t="s">
        <v>171</v>
      </c>
      <c r="E199" t="str">
        <f t="shared" si="7"/>
        <v>이X식</v>
      </c>
    </row>
    <row r="200" spans="2:5">
      <c r="B200" s="224" t="s">
        <v>2537</v>
      </c>
      <c r="C200" t="s">
        <v>172</v>
      </c>
      <c r="E200" t="str">
        <f t="shared" si="7"/>
        <v>김X민</v>
      </c>
    </row>
    <row r="201" spans="2:5">
      <c r="B201" s="224" t="s">
        <v>2538</v>
      </c>
      <c r="C201" t="s">
        <v>82</v>
      </c>
      <c r="E201" t="str">
        <f t="shared" si="7"/>
        <v>정X준</v>
      </c>
    </row>
    <row r="202" spans="2:5">
      <c r="B202" s="224" t="s">
        <v>2539</v>
      </c>
      <c r="C202" t="s">
        <v>171</v>
      </c>
      <c r="E202" t="str">
        <f t="shared" si="7"/>
        <v>이X식</v>
      </c>
    </row>
    <row r="203" spans="2:5">
      <c r="B203" s="224" t="s">
        <v>2540</v>
      </c>
      <c r="C203" t="s">
        <v>172</v>
      </c>
      <c r="E203" t="str">
        <f t="shared" si="7"/>
        <v>김X민</v>
      </c>
    </row>
    <row r="204" spans="2:5">
      <c r="B204" s="224" t="s">
        <v>2541</v>
      </c>
      <c r="C204" t="s">
        <v>82</v>
      </c>
      <c r="E204" t="str">
        <f t="shared" si="7"/>
        <v>정X준</v>
      </c>
    </row>
    <row r="205" spans="2:5">
      <c r="B205" s="224" t="s">
        <v>2542</v>
      </c>
      <c r="C205" t="s">
        <v>171</v>
      </c>
      <c r="E205" t="str">
        <f t="shared" si="7"/>
        <v>이X식</v>
      </c>
    </row>
    <row r="206" spans="2:5">
      <c r="B206" s="224" t="s">
        <v>2543</v>
      </c>
      <c r="C206" t="s">
        <v>172</v>
      </c>
      <c r="E206" t="str">
        <f t="shared" si="7"/>
        <v>김X민</v>
      </c>
    </row>
    <row r="207" spans="2:5">
      <c r="B207" s="224" t="s">
        <v>2544</v>
      </c>
      <c r="C207" t="s">
        <v>82</v>
      </c>
      <c r="E207" t="str">
        <f t="shared" si="7"/>
        <v>정X준</v>
      </c>
    </row>
    <row r="208" spans="2:5">
      <c r="B208" s="224" t="s">
        <v>2545</v>
      </c>
      <c r="C208" t="s">
        <v>171</v>
      </c>
      <c r="E208" t="str">
        <f t="shared" si="7"/>
        <v>이X식</v>
      </c>
    </row>
    <row r="209" spans="2:5">
      <c r="B209" s="224" t="s">
        <v>2546</v>
      </c>
      <c r="C209" t="s">
        <v>172</v>
      </c>
      <c r="E209" t="str">
        <f t="shared" si="7"/>
        <v>김X민</v>
      </c>
    </row>
    <row r="210" spans="2:5">
      <c r="B210" s="224" t="s">
        <v>2547</v>
      </c>
      <c r="C210" t="s">
        <v>82</v>
      </c>
      <c r="E210" t="str">
        <f t="shared" si="7"/>
        <v>정X준</v>
      </c>
    </row>
    <row r="211" spans="2:5">
      <c r="B211" s="224" t="s">
        <v>2548</v>
      </c>
      <c r="C211" t="s">
        <v>171</v>
      </c>
      <c r="E211" t="str">
        <f t="shared" si="7"/>
        <v>이X식</v>
      </c>
    </row>
    <row r="212" spans="2:5">
      <c r="B212" s="224" t="s">
        <v>2549</v>
      </c>
      <c r="C212" t="s">
        <v>172</v>
      </c>
      <c r="E212" t="str">
        <f t="shared" si="7"/>
        <v>김X민</v>
      </c>
    </row>
    <row r="213" spans="2:5">
      <c r="B213" s="224" t="s">
        <v>2550</v>
      </c>
      <c r="C213" t="s">
        <v>82</v>
      </c>
      <c r="E213" t="str">
        <f t="shared" si="7"/>
        <v>정X준</v>
      </c>
    </row>
    <row r="214" spans="2:5">
      <c r="B214" s="224" t="s">
        <v>2551</v>
      </c>
      <c r="C214" t="s">
        <v>171</v>
      </c>
      <c r="E214" t="str">
        <f t="shared" si="7"/>
        <v>이X식</v>
      </c>
    </row>
    <row r="215" spans="2:5">
      <c r="B215" s="224" t="s">
        <v>2552</v>
      </c>
      <c r="C215" t="s">
        <v>172</v>
      </c>
      <c r="E215" t="str">
        <f t="shared" si="7"/>
        <v>김X민</v>
      </c>
    </row>
    <row r="216" spans="2:5">
      <c r="B216" s="224" t="s">
        <v>2553</v>
      </c>
      <c r="C216" t="s">
        <v>82</v>
      </c>
      <c r="E216" t="str">
        <f t="shared" si="7"/>
        <v>정X준</v>
      </c>
    </row>
    <row r="217" spans="2:5">
      <c r="B217" s="224" t="s">
        <v>2554</v>
      </c>
      <c r="C217" t="s">
        <v>171</v>
      </c>
      <c r="E217" t="str">
        <f t="shared" si="7"/>
        <v>이X식</v>
      </c>
    </row>
    <row r="218" spans="2:5">
      <c r="B218" s="224" t="s">
        <v>2555</v>
      </c>
      <c r="C218" t="s">
        <v>172</v>
      </c>
      <c r="E218" t="str">
        <f t="shared" si="7"/>
        <v>김X민</v>
      </c>
    </row>
    <row r="219" spans="2:5">
      <c r="B219" s="224" t="s">
        <v>2556</v>
      </c>
      <c r="C219" t="s">
        <v>82</v>
      </c>
      <c r="E219" t="str">
        <f t="shared" si="7"/>
        <v>정X준</v>
      </c>
    </row>
    <row r="220" spans="2:5">
      <c r="B220" s="224" t="s">
        <v>2557</v>
      </c>
      <c r="C220" t="s">
        <v>171</v>
      </c>
      <c r="E220" t="str">
        <f t="shared" si="7"/>
        <v>이X식</v>
      </c>
    </row>
    <row r="221" spans="2:5">
      <c r="B221" s="224" t="s">
        <v>2558</v>
      </c>
      <c r="C221" t="s">
        <v>172</v>
      </c>
      <c r="E221" t="str">
        <f t="shared" si="7"/>
        <v>김X민</v>
      </c>
    </row>
    <row r="222" spans="2:5">
      <c r="B222" s="224" t="s">
        <v>2559</v>
      </c>
      <c r="C222" t="s">
        <v>82</v>
      </c>
      <c r="E222" t="str">
        <f t="shared" si="7"/>
        <v>정X준</v>
      </c>
    </row>
    <row r="223" spans="2:5">
      <c r="B223" s="224" t="s">
        <v>2560</v>
      </c>
      <c r="C223" t="s">
        <v>171</v>
      </c>
      <c r="E223" t="str">
        <f t="shared" si="7"/>
        <v>이X식</v>
      </c>
    </row>
    <row r="224" spans="2:5">
      <c r="B224" s="224" t="s">
        <v>2561</v>
      </c>
      <c r="C224" t="s">
        <v>172</v>
      </c>
      <c r="E224" t="str">
        <f t="shared" si="7"/>
        <v>김X민</v>
      </c>
    </row>
    <row r="225" spans="2:5">
      <c r="B225" s="224" t="s">
        <v>2562</v>
      </c>
      <c r="C225" t="s">
        <v>82</v>
      </c>
      <c r="E225" t="str">
        <f t="shared" si="7"/>
        <v>정X준</v>
      </c>
    </row>
    <row r="226" spans="2:5">
      <c r="B226" s="224" t="s">
        <v>2563</v>
      </c>
      <c r="C226" t="s">
        <v>171</v>
      </c>
      <c r="E226" t="str">
        <f t="shared" si="7"/>
        <v>이X식</v>
      </c>
    </row>
    <row r="227" spans="2:5">
      <c r="B227" s="224" t="s">
        <v>2564</v>
      </c>
      <c r="C227" t="s">
        <v>172</v>
      </c>
      <c r="E227" t="str">
        <f t="shared" si="7"/>
        <v>김X민</v>
      </c>
    </row>
    <row r="228" spans="2:5">
      <c r="B228" s="224" t="s">
        <v>2565</v>
      </c>
      <c r="C228" t="s">
        <v>82</v>
      </c>
      <c r="E228" t="str">
        <f t="shared" si="7"/>
        <v>정X준</v>
      </c>
    </row>
    <row r="229" spans="2:5">
      <c r="B229" s="224" t="s">
        <v>2566</v>
      </c>
      <c r="C229" t="s">
        <v>171</v>
      </c>
      <c r="E229" t="str">
        <f t="shared" si="7"/>
        <v>이X식</v>
      </c>
    </row>
    <row r="230" spans="2:5">
      <c r="B230" s="224" t="s">
        <v>2567</v>
      </c>
      <c r="C230" t="s">
        <v>172</v>
      </c>
      <c r="E230" t="str">
        <f t="shared" si="7"/>
        <v>김X민</v>
      </c>
    </row>
    <row r="231" spans="2:5">
      <c r="B231" s="224" t="s">
        <v>2568</v>
      </c>
      <c r="C231" t="s">
        <v>82</v>
      </c>
      <c r="E231" t="str">
        <f t="shared" si="7"/>
        <v>정X준</v>
      </c>
    </row>
    <row r="232" spans="2:5">
      <c r="B232" s="224" t="s">
        <v>2569</v>
      </c>
      <c r="C232" t="s">
        <v>171</v>
      </c>
      <c r="E232" t="str">
        <f t="shared" si="7"/>
        <v>이X식</v>
      </c>
    </row>
    <row r="233" spans="2:5">
      <c r="B233" s="224" t="s">
        <v>2570</v>
      </c>
      <c r="C233" t="s">
        <v>172</v>
      </c>
      <c r="E233" t="str">
        <f t="shared" si="7"/>
        <v>김X민</v>
      </c>
    </row>
    <row r="234" spans="2:5">
      <c r="B234" s="224" t="s">
        <v>2571</v>
      </c>
      <c r="C234" t="s">
        <v>82</v>
      </c>
      <c r="E234" t="str">
        <f t="shared" si="7"/>
        <v>정X준</v>
      </c>
    </row>
    <row r="235" spans="2:5">
      <c r="B235" s="224" t="s">
        <v>2572</v>
      </c>
      <c r="C235" t="s">
        <v>171</v>
      </c>
      <c r="E235" t="str">
        <f t="shared" si="7"/>
        <v>이X식</v>
      </c>
    </row>
    <row r="236" spans="2:5">
      <c r="B236" s="224" t="s">
        <v>2573</v>
      </c>
      <c r="C236" t="s">
        <v>172</v>
      </c>
      <c r="E236" t="str">
        <f t="shared" si="7"/>
        <v>김X민</v>
      </c>
    </row>
    <row r="237" spans="2:5">
      <c r="B237" s="224" t="s">
        <v>2574</v>
      </c>
      <c r="C237" t="s">
        <v>82</v>
      </c>
      <c r="E237" t="str">
        <f t="shared" si="7"/>
        <v>정X준</v>
      </c>
    </row>
    <row r="238" spans="2:5">
      <c r="B238" s="224" t="s">
        <v>2575</v>
      </c>
      <c r="C238" t="s">
        <v>171</v>
      </c>
      <c r="E238" t="str">
        <f t="shared" si="7"/>
        <v>이X식</v>
      </c>
    </row>
    <row r="239" spans="2:5">
      <c r="B239" s="224" t="s">
        <v>2576</v>
      </c>
      <c r="C239" t="s">
        <v>172</v>
      </c>
      <c r="E239" t="str">
        <f t="shared" si="7"/>
        <v>김X민</v>
      </c>
    </row>
    <row r="240" spans="2:5">
      <c r="B240" s="224" t="s">
        <v>2577</v>
      </c>
      <c r="C240" t="s">
        <v>82</v>
      </c>
      <c r="E240" t="str">
        <f t="shared" si="7"/>
        <v>정X준</v>
      </c>
    </row>
    <row r="241" spans="2:5">
      <c r="B241" s="224" t="s">
        <v>2578</v>
      </c>
      <c r="C241" t="s">
        <v>171</v>
      </c>
      <c r="E241" t="str">
        <f t="shared" si="7"/>
        <v>이X식</v>
      </c>
    </row>
    <row r="242" spans="2:5">
      <c r="B242" s="224" t="s">
        <v>2579</v>
      </c>
      <c r="C242" t="s">
        <v>172</v>
      </c>
      <c r="E242" t="str">
        <f t="shared" si="7"/>
        <v>김X민</v>
      </c>
    </row>
    <row r="243" spans="2:5">
      <c r="B243" s="224" t="s">
        <v>2580</v>
      </c>
      <c r="C243" t="s">
        <v>82</v>
      </c>
      <c r="E243" t="str">
        <f t="shared" si="7"/>
        <v>정X준</v>
      </c>
    </row>
    <row r="244" spans="2:5">
      <c r="B244" s="224" t="s">
        <v>2581</v>
      </c>
      <c r="C244" t="s">
        <v>171</v>
      </c>
      <c r="E244" t="str">
        <f t="shared" si="7"/>
        <v>이X식</v>
      </c>
    </row>
    <row r="245" spans="2:5">
      <c r="B245" s="224" t="s">
        <v>2582</v>
      </c>
      <c r="C245" t="s">
        <v>172</v>
      </c>
      <c r="E245" t="str">
        <f t="shared" si="7"/>
        <v>김X민</v>
      </c>
    </row>
    <row r="246" spans="2:5">
      <c r="B246" s="224" t="s">
        <v>2583</v>
      </c>
      <c r="C246" t="s">
        <v>82</v>
      </c>
      <c r="E246" t="str">
        <f t="shared" si="7"/>
        <v>정X준</v>
      </c>
    </row>
    <row r="247" spans="2:5">
      <c r="B247" s="224" t="s">
        <v>2584</v>
      </c>
      <c r="C247" t="s">
        <v>171</v>
      </c>
      <c r="E247" t="str">
        <f t="shared" si="7"/>
        <v>이X식</v>
      </c>
    </row>
    <row r="248" spans="2:5">
      <c r="B248" s="224" t="s">
        <v>2585</v>
      </c>
      <c r="C248" t="s">
        <v>172</v>
      </c>
      <c r="E248" t="str">
        <f t="shared" si="7"/>
        <v>김X민</v>
      </c>
    </row>
    <row r="249" spans="2:5">
      <c r="B249" s="224" t="s">
        <v>2586</v>
      </c>
      <c r="C249" t="s">
        <v>82</v>
      </c>
      <c r="E249" t="str">
        <f t="shared" si="7"/>
        <v>정X준</v>
      </c>
    </row>
    <row r="250" spans="2:5">
      <c r="B250" s="224" t="s">
        <v>2587</v>
      </c>
      <c r="C250" t="s">
        <v>171</v>
      </c>
      <c r="E250" t="str">
        <f t="shared" si="7"/>
        <v>이X식</v>
      </c>
    </row>
    <row r="251" spans="2:5">
      <c r="B251" s="224" t="s">
        <v>2588</v>
      </c>
      <c r="C251" t="s">
        <v>172</v>
      </c>
      <c r="E251" t="str">
        <f t="shared" si="7"/>
        <v>김X민</v>
      </c>
    </row>
    <row r="252" spans="2:5">
      <c r="B252" s="224" t="s">
        <v>2589</v>
      </c>
      <c r="C252" t="s">
        <v>82</v>
      </c>
      <c r="E252" t="str">
        <f t="shared" si="7"/>
        <v>정X준</v>
      </c>
    </row>
    <row r="253" spans="2:5">
      <c r="B253" s="224" t="s">
        <v>2590</v>
      </c>
      <c r="C253" t="s">
        <v>171</v>
      </c>
      <c r="E253" t="str">
        <f t="shared" si="7"/>
        <v>이X식</v>
      </c>
    </row>
    <row r="254" spans="2:5">
      <c r="B254" s="224" t="s">
        <v>2591</v>
      </c>
      <c r="C254" t="s">
        <v>172</v>
      </c>
      <c r="E254" t="str">
        <f t="shared" si="7"/>
        <v>김X민</v>
      </c>
    </row>
    <row r="255" spans="2:5">
      <c r="B255" s="224" t="s">
        <v>2592</v>
      </c>
      <c r="C255" t="s">
        <v>82</v>
      </c>
      <c r="E255" t="str">
        <f t="shared" si="7"/>
        <v>정X준</v>
      </c>
    </row>
    <row r="256" spans="2:5">
      <c r="B256" s="224" t="s">
        <v>2593</v>
      </c>
      <c r="C256" t="s">
        <v>171</v>
      </c>
      <c r="E256" t="str">
        <f t="shared" si="7"/>
        <v>이X식</v>
      </c>
    </row>
    <row r="257" spans="2:5">
      <c r="B257" s="224" t="s">
        <v>2594</v>
      </c>
      <c r="C257" t="s">
        <v>172</v>
      </c>
      <c r="E257" t="str">
        <f t="shared" si="7"/>
        <v>김X민</v>
      </c>
    </row>
    <row r="258" spans="2:5">
      <c r="B258" s="224" t="s">
        <v>2595</v>
      </c>
      <c r="C258" t="s">
        <v>82</v>
      </c>
      <c r="E258" t="str">
        <f t="shared" si="7"/>
        <v>정X준</v>
      </c>
    </row>
    <row r="259" spans="2:5">
      <c r="B259" s="224" t="s">
        <v>2596</v>
      </c>
      <c r="C259" t="s">
        <v>171</v>
      </c>
      <c r="E259" t="str">
        <f t="shared" si="7"/>
        <v>이X식</v>
      </c>
    </row>
    <row r="260" spans="2:5">
      <c r="B260" s="224" t="s">
        <v>2597</v>
      </c>
      <c r="C260" t="s">
        <v>172</v>
      </c>
      <c r="E260" t="str">
        <f t="shared" ref="E260:E323" si="8">REPLACE(C260,2,1,"X")</f>
        <v>김X민</v>
      </c>
    </row>
    <row r="261" spans="2:5">
      <c r="B261" s="224" t="s">
        <v>2598</v>
      </c>
      <c r="C261" t="s">
        <v>82</v>
      </c>
      <c r="E261" t="str">
        <f t="shared" si="8"/>
        <v>정X준</v>
      </c>
    </row>
    <row r="262" spans="2:5">
      <c r="B262" s="224" t="s">
        <v>2599</v>
      </c>
      <c r="C262" t="s">
        <v>171</v>
      </c>
      <c r="E262" t="str">
        <f t="shared" si="8"/>
        <v>이X식</v>
      </c>
    </row>
    <row r="263" spans="2:5">
      <c r="B263" s="224" t="s">
        <v>2600</v>
      </c>
      <c r="C263" t="s">
        <v>172</v>
      </c>
      <c r="E263" t="str">
        <f t="shared" si="8"/>
        <v>김X민</v>
      </c>
    </row>
    <row r="264" spans="2:5">
      <c r="B264" s="224" t="s">
        <v>2601</v>
      </c>
      <c r="C264" t="s">
        <v>82</v>
      </c>
      <c r="E264" t="str">
        <f t="shared" si="8"/>
        <v>정X준</v>
      </c>
    </row>
    <row r="265" spans="2:5">
      <c r="B265" s="224" t="s">
        <v>2602</v>
      </c>
      <c r="C265" t="s">
        <v>171</v>
      </c>
      <c r="E265" t="str">
        <f t="shared" si="8"/>
        <v>이X식</v>
      </c>
    </row>
    <row r="266" spans="2:5">
      <c r="B266" s="224" t="s">
        <v>2603</v>
      </c>
      <c r="C266" t="s">
        <v>172</v>
      </c>
      <c r="E266" t="str">
        <f t="shared" si="8"/>
        <v>김X민</v>
      </c>
    </row>
    <row r="267" spans="2:5">
      <c r="B267" s="224" t="s">
        <v>2604</v>
      </c>
      <c r="C267" t="s">
        <v>82</v>
      </c>
      <c r="E267" t="str">
        <f t="shared" si="8"/>
        <v>정X준</v>
      </c>
    </row>
    <row r="268" spans="2:5">
      <c r="B268" s="224" t="s">
        <v>2605</v>
      </c>
      <c r="C268" t="s">
        <v>171</v>
      </c>
      <c r="E268" t="str">
        <f t="shared" si="8"/>
        <v>이X식</v>
      </c>
    </row>
    <row r="269" spans="2:5">
      <c r="B269" s="224" t="s">
        <v>2606</v>
      </c>
      <c r="C269" t="s">
        <v>172</v>
      </c>
      <c r="E269" t="str">
        <f t="shared" si="8"/>
        <v>김X민</v>
      </c>
    </row>
    <row r="270" spans="2:5">
      <c r="B270" s="224" t="s">
        <v>2607</v>
      </c>
      <c r="C270" t="s">
        <v>82</v>
      </c>
      <c r="E270" t="str">
        <f t="shared" si="8"/>
        <v>정X준</v>
      </c>
    </row>
    <row r="271" spans="2:5">
      <c r="B271" s="224" t="s">
        <v>2608</v>
      </c>
      <c r="C271" t="s">
        <v>171</v>
      </c>
      <c r="E271" t="str">
        <f t="shared" si="8"/>
        <v>이X식</v>
      </c>
    </row>
    <row r="272" spans="2:5">
      <c r="B272" s="224" t="s">
        <v>2609</v>
      </c>
      <c r="C272" t="s">
        <v>172</v>
      </c>
      <c r="E272" t="str">
        <f t="shared" si="8"/>
        <v>김X민</v>
      </c>
    </row>
    <row r="273" spans="2:5">
      <c r="B273" s="224" t="s">
        <v>2610</v>
      </c>
      <c r="C273" t="s">
        <v>82</v>
      </c>
      <c r="E273" t="str">
        <f t="shared" si="8"/>
        <v>정X준</v>
      </c>
    </row>
    <row r="274" spans="2:5">
      <c r="B274" s="224" t="s">
        <v>2611</v>
      </c>
      <c r="C274" t="s">
        <v>171</v>
      </c>
      <c r="E274" t="str">
        <f t="shared" si="8"/>
        <v>이X식</v>
      </c>
    </row>
    <row r="275" spans="2:5">
      <c r="B275" s="224" t="s">
        <v>2612</v>
      </c>
      <c r="C275" t="s">
        <v>172</v>
      </c>
      <c r="E275" t="str">
        <f t="shared" si="8"/>
        <v>김X민</v>
      </c>
    </row>
    <row r="276" spans="2:5">
      <c r="B276" s="224" t="s">
        <v>2613</v>
      </c>
      <c r="C276" t="s">
        <v>82</v>
      </c>
      <c r="E276" t="str">
        <f t="shared" si="8"/>
        <v>정X준</v>
      </c>
    </row>
    <row r="277" spans="2:5">
      <c r="B277" s="224" t="s">
        <v>2614</v>
      </c>
      <c r="C277" t="s">
        <v>171</v>
      </c>
      <c r="E277" t="str">
        <f t="shared" si="8"/>
        <v>이X식</v>
      </c>
    </row>
    <row r="278" spans="2:5">
      <c r="B278" s="224" t="s">
        <v>2615</v>
      </c>
      <c r="C278" t="s">
        <v>172</v>
      </c>
      <c r="E278" t="str">
        <f t="shared" si="8"/>
        <v>김X민</v>
      </c>
    </row>
    <row r="279" spans="2:5">
      <c r="B279" s="224" t="s">
        <v>2616</v>
      </c>
      <c r="C279" t="s">
        <v>82</v>
      </c>
      <c r="E279" t="str">
        <f t="shared" si="8"/>
        <v>정X준</v>
      </c>
    </row>
    <row r="280" spans="2:5">
      <c r="B280" s="224" t="s">
        <v>2617</v>
      </c>
      <c r="C280" t="s">
        <v>171</v>
      </c>
      <c r="E280" t="str">
        <f t="shared" si="8"/>
        <v>이X식</v>
      </c>
    </row>
    <row r="281" spans="2:5">
      <c r="B281" s="224" t="s">
        <v>2618</v>
      </c>
      <c r="C281" t="s">
        <v>172</v>
      </c>
      <c r="E281" t="str">
        <f t="shared" si="8"/>
        <v>김X민</v>
      </c>
    </row>
    <row r="282" spans="2:5">
      <c r="B282" s="224" t="s">
        <v>2619</v>
      </c>
      <c r="C282" t="s">
        <v>82</v>
      </c>
      <c r="E282" t="str">
        <f t="shared" si="8"/>
        <v>정X준</v>
      </c>
    </row>
    <row r="283" spans="2:5">
      <c r="B283" s="224" t="s">
        <v>2620</v>
      </c>
      <c r="C283" t="s">
        <v>171</v>
      </c>
      <c r="E283" t="str">
        <f t="shared" si="8"/>
        <v>이X식</v>
      </c>
    </row>
    <row r="284" spans="2:5">
      <c r="B284" s="224" t="s">
        <v>2621</v>
      </c>
      <c r="C284" t="s">
        <v>172</v>
      </c>
      <c r="E284" t="str">
        <f t="shared" si="8"/>
        <v>김X민</v>
      </c>
    </row>
    <row r="285" spans="2:5">
      <c r="B285" s="224" t="s">
        <v>2622</v>
      </c>
      <c r="C285" t="s">
        <v>82</v>
      </c>
      <c r="E285" t="str">
        <f t="shared" si="8"/>
        <v>정X준</v>
      </c>
    </row>
    <row r="286" spans="2:5">
      <c r="B286" s="224" t="s">
        <v>2623</v>
      </c>
      <c r="C286" t="s">
        <v>171</v>
      </c>
      <c r="E286" t="str">
        <f t="shared" si="8"/>
        <v>이X식</v>
      </c>
    </row>
    <row r="287" spans="2:5">
      <c r="B287" s="224" t="s">
        <v>2624</v>
      </c>
      <c r="C287" t="s">
        <v>172</v>
      </c>
      <c r="E287" t="str">
        <f t="shared" si="8"/>
        <v>김X민</v>
      </c>
    </row>
    <row r="288" spans="2:5">
      <c r="B288" s="224" t="s">
        <v>2625</v>
      </c>
      <c r="C288" t="s">
        <v>82</v>
      </c>
      <c r="E288" t="str">
        <f t="shared" si="8"/>
        <v>정X준</v>
      </c>
    </row>
    <row r="289" spans="2:5">
      <c r="B289" s="224" t="s">
        <v>2626</v>
      </c>
      <c r="C289" t="s">
        <v>171</v>
      </c>
      <c r="E289" t="str">
        <f t="shared" si="8"/>
        <v>이X식</v>
      </c>
    </row>
    <row r="290" spans="2:5">
      <c r="B290" s="224" t="s">
        <v>2627</v>
      </c>
      <c r="C290" t="s">
        <v>172</v>
      </c>
      <c r="E290" t="str">
        <f t="shared" si="8"/>
        <v>김X민</v>
      </c>
    </row>
    <row r="291" spans="2:5">
      <c r="B291" s="224" t="s">
        <v>2628</v>
      </c>
      <c r="C291" t="s">
        <v>82</v>
      </c>
      <c r="E291" t="str">
        <f t="shared" si="8"/>
        <v>정X준</v>
      </c>
    </row>
    <row r="292" spans="2:5">
      <c r="B292" s="224" t="s">
        <v>2629</v>
      </c>
      <c r="C292" t="s">
        <v>171</v>
      </c>
      <c r="E292" t="str">
        <f t="shared" si="8"/>
        <v>이X식</v>
      </c>
    </row>
    <row r="293" spans="2:5">
      <c r="B293" s="224" t="s">
        <v>2630</v>
      </c>
      <c r="C293" t="s">
        <v>172</v>
      </c>
      <c r="E293" t="str">
        <f t="shared" si="8"/>
        <v>김X민</v>
      </c>
    </row>
    <row r="294" spans="2:5">
      <c r="B294" s="224" t="s">
        <v>2631</v>
      </c>
      <c r="C294" t="s">
        <v>82</v>
      </c>
      <c r="E294" t="str">
        <f t="shared" si="8"/>
        <v>정X준</v>
      </c>
    </row>
    <row r="295" spans="2:5">
      <c r="B295" s="224" t="s">
        <v>2632</v>
      </c>
      <c r="C295" t="s">
        <v>171</v>
      </c>
      <c r="E295" t="str">
        <f t="shared" si="8"/>
        <v>이X식</v>
      </c>
    </row>
    <row r="296" spans="2:5">
      <c r="B296" s="224" t="s">
        <v>2633</v>
      </c>
      <c r="C296" t="s">
        <v>172</v>
      </c>
      <c r="E296" t="str">
        <f t="shared" si="8"/>
        <v>김X민</v>
      </c>
    </row>
    <row r="297" spans="2:5">
      <c r="B297" s="224" t="s">
        <v>2634</v>
      </c>
      <c r="C297" t="s">
        <v>82</v>
      </c>
      <c r="E297" t="str">
        <f t="shared" si="8"/>
        <v>정X준</v>
      </c>
    </row>
    <row r="298" spans="2:5">
      <c r="B298" s="224" t="s">
        <v>2635</v>
      </c>
      <c r="C298" t="s">
        <v>171</v>
      </c>
      <c r="E298" t="str">
        <f t="shared" si="8"/>
        <v>이X식</v>
      </c>
    </row>
    <row r="299" spans="2:5">
      <c r="B299" s="224" t="s">
        <v>2636</v>
      </c>
      <c r="C299" t="s">
        <v>172</v>
      </c>
      <c r="E299" t="str">
        <f t="shared" si="8"/>
        <v>김X민</v>
      </c>
    </row>
    <row r="300" spans="2:5">
      <c r="B300" s="224" t="s">
        <v>2637</v>
      </c>
      <c r="C300" t="s">
        <v>82</v>
      </c>
      <c r="E300" t="str">
        <f t="shared" si="8"/>
        <v>정X준</v>
      </c>
    </row>
    <row r="301" spans="2:5">
      <c r="B301" s="224" t="s">
        <v>2638</v>
      </c>
      <c r="C301" t="s">
        <v>171</v>
      </c>
      <c r="E301" t="str">
        <f t="shared" si="8"/>
        <v>이X식</v>
      </c>
    </row>
    <row r="302" spans="2:5">
      <c r="B302" s="224" t="s">
        <v>2639</v>
      </c>
      <c r="C302" t="s">
        <v>172</v>
      </c>
      <c r="E302" t="str">
        <f t="shared" si="8"/>
        <v>김X민</v>
      </c>
    </row>
    <row r="303" spans="2:5">
      <c r="B303" s="224" t="s">
        <v>2640</v>
      </c>
      <c r="C303" t="s">
        <v>82</v>
      </c>
      <c r="E303" t="str">
        <f t="shared" si="8"/>
        <v>정X준</v>
      </c>
    </row>
    <row r="304" spans="2:5">
      <c r="B304" s="224" t="s">
        <v>2641</v>
      </c>
      <c r="C304" t="s">
        <v>171</v>
      </c>
      <c r="E304" t="str">
        <f t="shared" si="8"/>
        <v>이X식</v>
      </c>
    </row>
    <row r="305" spans="2:5">
      <c r="B305" s="224" t="s">
        <v>2642</v>
      </c>
      <c r="C305" t="s">
        <v>172</v>
      </c>
      <c r="E305" t="str">
        <f t="shared" si="8"/>
        <v>김X민</v>
      </c>
    </row>
    <row r="306" spans="2:5">
      <c r="B306" s="224" t="s">
        <v>2643</v>
      </c>
      <c r="C306" t="s">
        <v>82</v>
      </c>
      <c r="E306" t="str">
        <f t="shared" si="8"/>
        <v>정X준</v>
      </c>
    </row>
    <row r="307" spans="2:5">
      <c r="B307" s="224" t="s">
        <v>2644</v>
      </c>
      <c r="C307" t="s">
        <v>171</v>
      </c>
      <c r="E307" t="str">
        <f t="shared" si="8"/>
        <v>이X식</v>
      </c>
    </row>
    <row r="308" spans="2:5">
      <c r="B308" s="224" t="s">
        <v>2645</v>
      </c>
      <c r="C308" t="s">
        <v>172</v>
      </c>
      <c r="E308" t="str">
        <f t="shared" si="8"/>
        <v>김X민</v>
      </c>
    </row>
    <row r="309" spans="2:5">
      <c r="B309" s="224" t="s">
        <v>2646</v>
      </c>
      <c r="C309" t="s">
        <v>82</v>
      </c>
      <c r="E309" t="str">
        <f t="shared" si="8"/>
        <v>정X준</v>
      </c>
    </row>
    <row r="310" spans="2:5">
      <c r="B310" s="224" t="s">
        <v>2647</v>
      </c>
      <c r="C310" t="s">
        <v>171</v>
      </c>
      <c r="E310" t="str">
        <f t="shared" si="8"/>
        <v>이X식</v>
      </c>
    </row>
    <row r="311" spans="2:5">
      <c r="B311" s="224" t="s">
        <v>2648</v>
      </c>
      <c r="C311" t="s">
        <v>172</v>
      </c>
      <c r="E311" t="str">
        <f t="shared" si="8"/>
        <v>김X민</v>
      </c>
    </row>
    <row r="312" spans="2:5">
      <c r="B312" s="224" t="s">
        <v>2649</v>
      </c>
      <c r="C312" t="s">
        <v>82</v>
      </c>
      <c r="E312" t="str">
        <f t="shared" si="8"/>
        <v>정X준</v>
      </c>
    </row>
    <row r="313" spans="2:5">
      <c r="B313" s="224" t="s">
        <v>2650</v>
      </c>
      <c r="C313" t="s">
        <v>171</v>
      </c>
      <c r="E313" t="str">
        <f t="shared" si="8"/>
        <v>이X식</v>
      </c>
    </row>
    <row r="314" spans="2:5">
      <c r="B314" s="224" t="s">
        <v>2651</v>
      </c>
      <c r="C314" t="s">
        <v>172</v>
      </c>
      <c r="E314" t="str">
        <f t="shared" si="8"/>
        <v>김X민</v>
      </c>
    </row>
    <row r="315" spans="2:5">
      <c r="B315" s="224" t="s">
        <v>2652</v>
      </c>
      <c r="C315" t="s">
        <v>82</v>
      </c>
      <c r="E315" t="str">
        <f t="shared" si="8"/>
        <v>정X준</v>
      </c>
    </row>
    <row r="316" spans="2:5">
      <c r="B316" s="224" t="s">
        <v>2653</v>
      </c>
      <c r="C316" t="s">
        <v>171</v>
      </c>
      <c r="E316" t="str">
        <f t="shared" si="8"/>
        <v>이X식</v>
      </c>
    </row>
    <row r="317" spans="2:5">
      <c r="B317" s="224" t="s">
        <v>2654</v>
      </c>
      <c r="C317" t="s">
        <v>172</v>
      </c>
      <c r="E317" t="str">
        <f t="shared" si="8"/>
        <v>김X민</v>
      </c>
    </row>
    <row r="318" spans="2:5">
      <c r="B318" s="224" t="s">
        <v>2655</v>
      </c>
      <c r="C318" t="s">
        <v>82</v>
      </c>
      <c r="E318" t="str">
        <f t="shared" si="8"/>
        <v>정X준</v>
      </c>
    </row>
    <row r="319" spans="2:5">
      <c r="B319" s="224" t="s">
        <v>2656</v>
      </c>
      <c r="C319" t="s">
        <v>171</v>
      </c>
      <c r="E319" t="str">
        <f t="shared" si="8"/>
        <v>이X식</v>
      </c>
    </row>
    <row r="320" spans="2:5">
      <c r="B320" s="224" t="s">
        <v>2657</v>
      </c>
      <c r="C320" t="s">
        <v>172</v>
      </c>
      <c r="E320" t="str">
        <f t="shared" si="8"/>
        <v>김X민</v>
      </c>
    </row>
    <row r="321" spans="2:5">
      <c r="B321" s="224" t="s">
        <v>2658</v>
      </c>
      <c r="C321" t="s">
        <v>82</v>
      </c>
      <c r="E321" t="str">
        <f t="shared" si="8"/>
        <v>정X준</v>
      </c>
    </row>
    <row r="322" spans="2:5">
      <c r="B322" s="224" t="s">
        <v>2659</v>
      </c>
      <c r="C322" t="s">
        <v>171</v>
      </c>
      <c r="E322" t="str">
        <f t="shared" si="8"/>
        <v>이X식</v>
      </c>
    </row>
    <row r="323" spans="2:5">
      <c r="B323" s="224" t="s">
        <v>2660</v>
      </c>
      <c r="C323" t="s">
        <v>172</v>
      </c>
      <c r="E323" t="str">
        <f t="shared" si="8"/>
        <v>김X민</v>
      </c>
    </row>
    <row r="324" spans="2:5">
      <c r="B324" s="224" t="s">
        <v>2661</v>
      </c>
      <c r="C324" t="s">
        <v>82</v>
      </c>
      <c r="E324" t="str">
        <f t="shared" ref="E324:E387" si="9">REPLACE(C324,2,1,"X")</f>
        <v>정X준</v>
      </c>
    </row>
    <row r="325" spans="2:5">
      <c r="B325" s="224" t="s">
        <v>2662</v>
      </c>
      <c r="C325" t="s">
        <v>171</v>
      </c>
      <c r="E325" t="str">
        <f t="shared" si="9"/>
        <v>이X식</v>
      </c>
    </row>
    <row r="326" spans="2:5">
      <c r="B326" s="224" t="s">
        <v>2663</v>
      </c>
      <c r="C326" t="s">
        <v>172</v>
      </c>
      <c r="E326" t="str">
        <f t="shared" si="9"/>
        <v>김X민</v>
      </c>
    </row>
    <row r="327" spans="2:5">
      <c r="B327" s="224" t="s">
        <v>2664</v>
      </c>
      <c r="C327" t="s">
        <v>82</v>
      </c>
      <c r="E327" t="str">
        <f t="shared" si="9"/>
        <v>정X준</v>
      </c>
    </row>
    <row r="328" spans="2:5">
      <c r="B328" s="224" t="s">
        <v>2665</v>
      </c>
      <c r="C328" t="s">
        <v>171</v>
      </c>
      <c r="E328" t="str">
        <f t="shared" si="9"/>
        <v>이X식</v>
      </c>
    </row>
    <row r="329" spans="2:5">
      <c r="B329" s="224" t="s">
        <v>2666</v>
      </c>
      <c r="C329" t="s">
        <v>172</v>
      </c>
      <c r="E329" t="str">
        <f t="shared" si="9"/>
        <v>김X민</v>
      </c>
    </row>
    <row r="330" spans="2:5">
      <c r="B330" s="224" t="s">
        <v>2667</v>
      </c>
      <c r="C330" t="s">
        <v>82</v>
      </c>
      <c r="E330" t="str">
        <f t="shared" si="9"/>
        <v>정X준</v>
      </c>
    </row>
    <row r="331" spans="2:5">
      <c r="B331" s="224" t="s">
        <v>2668</v>
      </c>
      <c r="C331" t="s">
        <v>171</v>
      </c>
      <c r="E331" t="str">
        <f t="shared" si="9"/>
        <v>이X식</v>
      </c>
    </row>
    <row r="332" spans="2:5">
      <c r="B332" s="224" t="s">
        <v>2669</v>
      </c>
      <c r="C332" t="s">
        <v>172</v>
      </c>
      <c r="E332" t="str">
        <f t="shared" si="9"/>
        <v>김X민</v>
      </c>
    </row>
    <row r="333" spans="2:5">
      <c r="B333" s="224" t="s">
        <v>2670</v>
      </c>
      <c r="C333" t="s">
        <v>82</v>
      </c>
      <c r="E333" t="str">
        <f t="shared" si="9"/>
        <v>정X준</v>
      </c>
    </row>
    <row r="334" spans="2:5">
      <c r="B334" s="224" t="s">
        <v>2671</v>
      </c>
      <c r="C334" t="s">
        <v>171</v>
      </c>
      <c r="E334" t="str">
        <f t="shared" si="9"/>
        <v>이X식</v>
      </c>
    </row>
    <row r="335" spans="2:5">
      <c r="B335" s="224" t="s">
        <v>2672</v>
      </c>
      <c r="C335" t="s">
        <v>172</v>
      </c>
      <c r="E335" t="str">
        <f t="shared" si="9"/>
        <v>김X민</v>
      </c>
    </row>
    <row r="336" spans="2:5">
      <c r="B336" s="224" t="s">
        <v>2673</v>
      </c>
      <c r="C336" t="s">
        <v>82</v>
      </c>
      <c r="E336" t="str">
        <f t="shared" si="9"/>
        <v>정X준</v>
      </c>
    </row>
    <row r="337" spans="2:5">
      <c r="B337" s="224" t="s">
        <v>2674</v>
      </c>
      <c r="C337" t="s">
        <v>171</v>
      </c>
      <c r="E337" t="str">
        <f t="shared" si="9"/>
        <v>이X식</v>
      </c>
    </row>
    <row r="338" spans="2:5">
      <c r="B338" s="224" t="s">
        <v>2675</v>
      </c>
      <c r="C338" t="s">
        <v>172</v>
      </c>
      <c r="E338" t="str">
        <f t="shared" si="9"/>
        <v>김X민</v>
      </c>
    </row>
    <row r="339" spans="2:5">
      <c r="B339" s="224" t="s">
        <v>2676</v>
      </c>
      <c r="C339" t="s">
        <v>82</v>
      </c>
      <c r="E339" t="str">
        <f t="shared" si="9"/>
        <v>정X준</v>
      </c>
    </row>
    <row r="340" spans="2:5">
      <c r="B340" s="224" t="s">
        <v>2677</v>
      </c>
      <c r="C340" t="s">
        <v>171</v>
      </c>
      <c r="E340" t="str">
        <f t="shared" si="9"/>
        <v>이X식</v>
      </c>
    </row>
    <row r="341" spans="2:5">
      <c r="B341" s="224" t="s">
        <v>2678</v>
      </c>
      <c r="C341" t="s">
        <v>172</v>
      </c>
      <c r="E341" t="str">
        <f t="shared" si="9"/>
        <v>김X민</v>
      </c>
    </row>
    <row r="342" spans="2:5">
      <c r="B342" s="224" t="s">
        <v>2679</v>
      </c>
      <c r="C342" t="s">
        <v>82</v>
      </c>
      <c r="E342" t="str">
        <f t="shared" si="9"/>
        <v>정X준</v>
      </c>
    </row>
    <row r="343" spans="2:5">
      <c r="B343" s="224" t="s">
        <v>2680</v>
      </c>
      <c r="C343" t="s">
        <v>171</v>
      </c>
      <c r="E343" t="str">
        <f t="shared" si="9"/>
        <v>이X식</v>
      </c>
    </row>
    <row r="344" spans="2:5">
      <c r="B344" s="224" t="s">
        <v>2681</v>
      </c>
      <c r="C344" t="s">
        <v>172</v>
      </c>
      <c r="E344" t="str">
        <f t="shared" si="9"/>
        <v>김X민</v>
      </c>
    </row>
    <row r="345" spans="2:5">
      <c r="B345" s="224" t="s">
        <v>2682</v>
      </c>
      <c r="C345" t="s">
        <v>82</v>
      </c>
      <c r="E345" t="str">
        <f t="shared" si="9"/>
        <v>정X준</v>
      </c>
    </row>
    <row r="346" spans="2:5">
      <c r="B346" s="224" t="s">
        <v>2683</v>
      </c>
      <c r="C346" t="s">
        <v>171</v>
      </c>
      <c r="E346" t="str">
        <f t="shared" si="9"/>
        <v>이X식</v>
      </c>
    </row>
    <row r="347" spans="2:5">
      <c r="B347" s="224" t="s">
        <v>2684</v>
      </c>
      <c r="C347" t="s">
        <v>172</v>
      </c>
      <c r="E347" t="str">
        <f t="shared" si="9"/>
        <v>김X민</v>
      </c>
    </row>
    <row r="348" spans="2:5">
      <c r="B348" s="224" t="s">
        <v>2685</v>
      </c>
      <c r="C348" t="s">
        <v>82</v>
      </c>
      <c r="E348" t="str">
        <f t="shared" si="9"/>
        <v>정X준</v>
      </c>
    </row>
    <row r="349" spans="2:5">
      <c r="B349" s="224" t="s">
        <v>2686</v>
      </c>
      <c r="C349" t="s">
        <v>171</v>
      </c>
      <c r="E349" t="str">
        <f t="shared" si="9"/>
        <v>이X식</v>
      </c>
    </row>
    <row r="350" spans="2:5">
      <c r="B350" s="224" t="s">
        <v>2687</v>
      </c>
      <c r="C350" t="s">
        <v>172</v>
      </c>
      <c r="E350" t="str">
        <f t="shared" si="9"/>
        <v>김X민</v>
      </c>
    </row>
    <row r="351" spans="2:5">
      <c r="B351" s="224" t="s">
        <v>2688</v>
      </c>
      <c r="C351" t="s">
        <v>82</v>
      </c>
      <c r="E351" t="str">
        <f t="shared" si="9"/>
        <v>정X준</v>
      </c>
    </row>
    <row r="352" spans="2:5">
      <c r="B352" s="224" t="s">
        <v>2689</v>
      </c>
      <c r="C352" t="s">
        <v>171</v>
      </c>
      <c r="E352" t="str">
        <f t="shared" si="9"/>
        <v>이X식</v>
      </c>
    </row>
    <row r="353" spans="2:5">
      <c r="B353" s="224" t="s">
        <v>2690</v>
      </c>
      <c r="C353" t="s">
        <v>172</v>
      </c>
      <c r="E353" t="str">
        <f t="shared" si="9"/>
        <v>김X민</v>
      </c>
    </row>
    <row r="354" spans="2:5">
      <c r="B354" s="224" t="s">
        <v>2691</v>
      </c>
      <c r="C354" t="s">
        <v>82</v>
      </c>
      <c r="E354" t="str">
        <f t="shared" si="9"/>
        <v>정X준</v>
      </c>
    </row>
    <row r="355" spans="2:5">
      <c r="B355" s="224" t="s">
        <v>2692</v>
      </c>
      <c r="C355" t="s">
        <v>171</v>
      </c>
      <c r="E355" t="str">
        <f t="shared" si="9"/>
        <v>이X식</v>
      </c>
    </row>
    <row r="356" spans="2:5">
      <c r="B356" s="224" t="s">
        <v>2693</v>
      </c>
      <c r="C356" t="s">
        <v>172</v>
      </c>
      <c r="E356" t="str">
        <f t="shared" si="9"/>
        <v>김X민</v>
      </c>
    </row>
    <row r="357" spans="2:5">
      <c r="B357" s="224" t="s">
        <v>2694</v>
      </c>
      <c r="C357" t="s">
        <v>82</v>
      </c>
      <c r="E357" t="str">
        <f t="shared" si="9"/>
        <v>정X준</v>
      </c>
    </row>
    <row r="358" spans="2:5">
      <c r="B358" s="224" t="s">
        <v>2695</v>
      </c>
      <c r="C358" t="s">
        <v>171</v>
      </c>
      <c r="E358" t="str">
        <f t="shared" si="9"/>
        <v>이X식</v>
      </c>
    </row>
    <row r="359" spans="2:5">
      <c r="B359" s="224" t="s">
        <v>2696</v>
      </c>
      <c r="C359" t="s">
        <v>172</v>
      </c>
      <c r="E359" t="str">
        <f t="shared" si="9"/>
        <v>김X민</v>
      </c>
    </row>
    <row r="360" spans="2:5">
      <c r="B360" s="224" t="s">
        <v>2697</v>
      </c>
      <c r="C360" t="s">
        <v>82</v>
      </c>
      <c r="E360" t="str">
        <f t="shared" si="9"/>
        <v>정X준</v>
      </c>
    </row>
    <row r="361" spans="2:5">
      <c r="B361" s="224" t="s">
        <v>2698</v>
      </c>
      <c r="C361" t="s">
        <v>171</v>
      </c>
      <c r="E361" t="str">
        <f t="shared" si="9"/>
        <v>이X식</v>
      </c>
    </row>
    <row r="362" spans="2:5">
      <c r="B362" s="224" t="s">
        <v>2699</v>
      </c>
      <c r="C362" t="s">
        <v>172</v>
      </c>
      <c r="E362" t="str">
        <f t="shared" si="9"/>
        <v>김X민</v>
      </c>
    </row>
    <row r="363" spans="2:5">
      <c r="B363" s="224" t="s">
        <v>2700</v>
      </c>
      <c r="C363" t="s">
        <v>82</v>
      </c>
      <c r="E363" t="str">
        <f t="shared" si="9"/>
        <v>정X준</v>
      </c>
    </row>
    <row r="364" spans="2:5">
      <c r="B364" s="224" t="s">
        <v>2701</v>
      </c>
      <c r="C364" t="s">
        <v>171</v>
      </c>
      <c r="E364" t="str">
        <f t="shared" si="9"/>
        <v>이X식</v>
      </c>
    </row>
    <row r="365" spans="2:5">
      <c r="B365" s="224" t="s">
        <v>2702</v>
      </c>
      <c r="C365" t="s">
        <v>172</v>
      </c>
      <c r="E365" t="str">
        <f t="shared" si="9"/>
        <v>김X민</v>
      </c>
    </row>
    <row r="366" spans="2:5">
      <c r="B366" s="224" t="s">
        <v>2703</v>
      </c>
      <c r="C366" t="s">
        <v>82</v>
      </c>
      <c r="E366" t="str">
        <f t="shared" si="9"/>
        <v>정X준</v>
      </c>
    </row>
    <row r="367" spans="2:5">
      <c r="B367" s="224" t="s">
        <v>2704</v>
      </c>
      <c r="C367" t="s">
        <v>171</v>
      </c>
      <c r="E367" t="str">
        <f t="shared" si="9"/>
        <v>이X식</v>
      </c>
    </row>
    <row r="368" spans="2:5">
      <c r="B368" s="224" t="s">
        <v>2705</v>
      </c>
      <c r="C368" t="s">
        <v>172</v>
      </c>
      <c r="E368" t="str">
        <f t="shared" si="9"/>
        <v>김X민</v>
      </c>
    </row>
    <row r="369" spans="2:5">
      <c r="B369" s="224" t="s">
        <v>2706</v>
      </c>
      <c r="C369" t="s">
        <v>82</v>
      </c>
      <c r="E369" t="str">
        <f t="shared" si="9"/>
        <v>정X준</v>
      </c>
    </row>
    <row r="370" spans="2:5">
      <c r="B370" s="224" t="s">
        <v>2707</v>
      </c>
      <c r="C370" t="s">
        <v>171</v>
      </c>
      <c r="E370" t="str">
        <f t="shared" si="9"/>
        <v>이X식</v>
      </c>
    </row>
    <row r="371" spans="2:5">
      <c r="B371" s="224" t="s">
        <v>2708</v>
      </c>
      <c r="C371" t="s">
        <v>172</v>
      </c>
      <c r="E371" t="str">
        <f t="shared" si="9"/>
        <v>김X민</v>
      </c>
    </row>
    <row r="372" spans="2:5">
      <c r="B372" s="224" t="s">
        <v>2709</v>
      </c>
      <c r="C372" t="s">
        <v>82</v>
      </c>
      <c r="E372" t="str">
        <f t="shared" si="9"/>
        <v>정X준</v>
      </c>
    </row>
    <row r="373" spans="2:5">
      <c r="B373" s="224" t="s">
        <v>2710</v>
      </c>
      <c r="C373" t="s">
        <v>171</v>
      </c>
      <c r="E373" t="str">
        <f t="shared" si="9"/>
        <v>이X식</v>
      </c>
    </row>
    <row r="374" spans="2:5">
      <c r="B374" s="224" t="s">
        <v>2711</v>
      </c>
      <c r="C374" t="s">
        <v>172</v>
      </c>
      <c r="E374" t="str">
        <f t="shared" si="9"/>
        <v>김X민</v>
      </c>
    </row>
    <row r="375" spans="2:5">
      <c r="B375" s="224" t="s">
        <v>2712</v>
      </c>
      <c r="C375" t="s">
        <v>82</v>
      </c>
      <c r="E375" t="str">
        <f t="shared" si="9"/>
        <v>정X준</v>
      </c>
    </row>
    <row r="376" spans="2:5">
      <c r="B376" s="224" t="s">
        <v>2713</v>
      </c>
      <c r="C376" t="s">
        <v>171</v>
      </c>
      <c r="E376" t="str">
        <f t="shared" si="9"/>
        <v>이X식</v>
      </c>
    </row>
    <row r="377" spans="2:5">
      <c r="B377" s="224" t="s">
        <v>2714</v>
      </c>
      <c r="C377" t="s">
        <v>172</v>
      </c>
      <c r="E377" t="str">
        <f t="shared" si="9"/>
        <v>김X민</v>
      </c>
    </row>
    <row r="378" spans="2:5">
      <c r="B378" s="224" t="s">
        <v>2715</v>
      </c>
      <c r="C378" t="s">
        <v>82</v>
      </c>
      <c r="E378" t="str">
        <f t="shared" si="9"/>
        <v>정X준</v>
      </c>
    </row>
    <row r="379" spans="2:5">
      <c r="B379" s="224" t="s">
        <v>2716</v>
      </c>
      <c r="C379" t="s">
        <v>171</v>
      </c>
      <c r="E379" t="str">
        <f t="shared" si="9"/>
        <v>이X식</v>
      </c>
    </row>
    <row r="380" spans="2:5">
      <c r="B380" s="224" t="s">
        <v>2717</v>
      </c>
      <c r="C380" t="s">
        <v>172</v>
      </c>
      <c r="E380" t="str">
        <f t="shared" si="9"/>
        <v>김X민</v>
      </c>
    </row>
    <row r="381" spans="2:5">
      <c r="B381" s="224" t="s">
        <v>2718</v>
      </c>
      <c r="C381" t="s">
        <v>82</v>
      </c>
      <c r="E381" t="str">
        <f t="shared" si="9"/>
        <v>정X준</v>
      </c>
    </row>
    <row r="382" spans="2:5">
      <c r="B382" s="224" t="s">
        <v>2719</v>
      </c>
      <c r="C382" t="s">
        <v>171</v>
      </c>
      <c r="E382" t="str">
        <f t="shared" si="9"/>
        <v>이X식</v>
      </c>
    </row>
    <row r="383" spans="2:5">
      <c r="B383" s="224" t="s">
        <v>2720</v>
      </c>
      <c r="C383" t="s">
        <v>172</v>
      </c>
      <c r="E383" t="str">
        <f t="shared" si="9"/>
        <v>김X민</v>
      </c>
    </row>
    <row r="384" spans="2:5">
      <c r="B384" s="224" t="s">
        <v>2721</v>
      </c>
      <c r="C384" t="s">
        <v>82</v>
      </c>
      <c r="E384" t="str">
        <f t="shared" si="9"/>
        <v>정X준</v>
      </c>
    </row>
    <row r="385" spans="2:5">
      <c r="B385" s="224" t="s">
        <v>2722</v>
      </c>
      <c r="C385" t="s">
        <v>171</v>
      </c>
      <c r="E385" t="str">
        <f t="shared" si="9"/>
        <v>이X식</v>
      </c>
    </row>
    <row r="386" spans="2:5">
      <c r="B386" s="224" t="s">
        <v>2723</v>
      </c>
      <c r="C386" t="s">
        <v>172</v>
      </c>
      <c r="E386" t="str">
        <f t="shared" si="9"/>
        <v>김X민</v>
      </c>
    </row>
    <row r="387" spans="2:5">
      <c r="B387" s="224" t="s">
        <v>2724</v>
      </c>
      <c r="C387" t="s">
        <v>82</v>
      </c>
      <c r="E387" t="str">
        <f t="shared" si="9"/>
        <v>정X준</v>
      </c>
    </row>
    <row r="388" spans="2:5">
      <c r="B388" s="224" t="s">
        <v>2725</v>
      </c>
      <c r="C388" t="s">
        <v>171</v>
      </c>
      <c r="E388" t="str">
        <f t="shared" ref="E388:E451" si="10">REPLACE(C388,2,1,"X")</f>
        <v>이X식</v>
      </c>
    </row>
    <row r="389" spans="2:5">
      <c r="B389" s="224" t="s">
        <v>2726</v>
      </c>
      <c r="C389" t="s">
        <v>172</v>
      </c>
      <c r="E389" t="str">
        <f t="shared" si="10"/>
        <v>김X민</v>
      </c>
    </row>
    <row r="390" spans="2:5">
      <c r="B390" s="224" t="s">
        <v>2727</v>
      </c>
      <c r="C390" t="s">
        <v>82</v>
      </c>
      <c r="E390" t="str">
        <f t="shared" si="10"/>
        <v>정X준</v>
      </c>
    </row>
    <row r="391" spans="2:5">
      <c r="B391" s="224" t="s">
        <v>2728</v>
      </c>
      <c r="C391" t="s">
        <v>171</v>
      </c>
      <c r="E391" t="str">
        <f t="shared" si="10"/>
        <v>이X식</v>
      </c>
    </row>
    <row r="392" spans="2:5">
      <c r="B392" s="224" t="s">
        <v>2729</v>
      </c>
      <c r="C392" t="s">
        <v>172</v>
      </c>
      <c r="E392" t="str">
        <f t="shared" si="10"/>
        <v>김X민</v>
      </c>
    </row>
    <row r="393" spans="2:5">
      <c r="B393" s="224" t="s">
        <v>2730</v>
      </c>
      <c r="C393" t="s">
        <v>82</v>
      </c>
      <c r="E393" t="str">
        <f t="shared" si="10"/>
        <v>정X준</v>
      </c>
    </row>
    <row r="394" spans="2:5">
      <c r="B394" s="224" t="s">
        <v>2731</v>
      </c>
      <c r="C394" t="s">
        <v>171</v>
      </c>
      <c r="E394" t="str">
        <f t="shared" si="10"/>
        <v>이X식</v>
      </c>
    </row>
    <row r="395" spans="2:5">
      <c r="B395" s="224" t="s">
        <v>2732</v>
      </c>
      <c r="C395" t="s">
        <v>172</v>
      </c>
      <c r="E395" t="str">
        <f t="shared" si="10"/>
        <v>김X민</v>
      </c>
    </row>
    <row r="396" spans="2:5">
      <c r="B396" s="224" t="s">
        <v>2733</v>
      </c>
      <c r="C396" t="s">
        <v>82</v>
      </c>
      <c r="E396" t="str">
        <f t="shared" si="10"/>
        <v>정X준</v>
      </c>
    </row>
    <row r="397" spans="2:5">
      <c r="B397" s="224" t="s">
        <v>2734</v>
      </c>
      <c r="C397" t="s">
        <v>171</v>
      </c>
      <c r="E397" t="str">
        <f t="shared" si="10"/>
        <v>이X식</v>
      </c>
    </row>
    <row r="398" spans="2:5">
      <c r="B398" s="224" t="s">
        <v>2735</v>
      </c>
      <c r="C398" t="s">
        <v>172</v>
      </c>
      <c r="E398" t="str">
        <f t="shared" si="10"/>
        <v>김X민</v>
      </c>
    </row>
    <row r="399" spans="2:5">
      <c r="B399" s="224" t="s">
        <v>2736</v>
      </c>
      <c r="C399" t="s">
        <v>82</v>
      </c>
      <c r="E399" t="str">
        <f t="shared" si="10"/>
        <v>정X준</v>
      </c>
    </row>
    <row r="400" spans="2:5">
      <c r="B400" s="224" t="s">
        <v>2737</v>
      </c>
      <c r="C400" t="s">
        <v>171</v>
      </c>
      <c r="E400" t="str">
        <f t="shared" si="10"/>
        <v>이X식</v>
      </c>
    </row>
    <row r="401" spans="2:5">
      <c r="B401" s="224" t="s">
        <v>2738</v>
      </c>
      <c r="C401" t="s">
        <v>172</v>
      </c>
      <c r="E401" t="str">
        <f t="shared" si="10"/>
        <v>김X민</v>
      </c>
    </row>
    <row r="402" spans="2:5">
      <c r="B402" s="224" t="s">
        <v>2739</v>
      </c>
      <c r="C402" t="s">
        <v>82</v>
      </c>
      <c r="E402" t="str">
        <f t="shared" si="10"/>
        <v>정X준</v>
      </c>
    </row>
    <row r="403" spans="2:5">
      <c r="B403" s="224" t="s">
        <v>2740</v>
      </c>
      <c r="C403" t="s">
        <v>171</v>
      </c>
      <c r="E403" t="str">
        <f t="shared" si="10"/>
        <v>이X식</v>
      </c>
    </row>
    <row r="404" spans="2:5">
      <c r="B404" s="224" t="s">
        <v>2741</v>
      </c>
      <c r="C404" t="s">
        <v>172</v>
      </c>
      <c r="E404" t="str">
        <f t="shared" si="10"/>
        <v>김X민</v>
      </c>
    </row>
    <row r="405" spans="2:5">
      <c r="B405" s="224" t="s">
        <v>2742</v>
      </c>
      <c r="C405" t="s">
        <v>82</v>
      </c>
      <c r="E405" t="str">
        <f t="shared" si="10"/>
        <v>정X준</v>
      </c>
    </row>
    <row r="406" spans="2:5">
      <c r="B406" s="224" t="s">
        <v>2743</v>
      </c>
      <c r="C406" t="s">
        <v>171</v>
      </c>
      <c r="E406" t="str">
        <f t="shared" si="10"/>
        <v>이X식</v>
      </c>
    </row>
    <row r="407" spans="2:5">
      <c r="B407" s="224" t="s">
        <v>2744</v>
      </c>
      <c r="C407" t="s">
        <v>172</v>
      </c>
      <c r="E407" t="str">
        <f t="shared" si="10"/>
        <v>김X민</v>
      </c>
    </row>
    <row r="408" spans="2:5">
      <c r="B408" s="224" t="s">
        <v>2745</v>
      </c>
      <c r="C408" t="s">
        <v>82</v>
      </c>
      <c r="E408" t="str">
        <f t="shared" si="10"/>
        <v>정X준</v>
      </c>
    </row>
    <row r="409" spans="2:5">
      <c r="B409" s="224" t="s">
        <v>2746</v>
      </c>
      <c r="C409" t="s">
        <v>171</v>
      </c>
      <c r="E409" t="str">
        <f t="shared" si="10"/>
        <v>이X식</v>
      </c>
    </row>
    <row r="410" spans="2:5">
      <c r="B410" s="224" t="s">
        <v>2747</v>
      </c>
      <c r="C410" t="s">
        <v>172</v>
      </c>
      <c r="E410" t="str">
        <f t="shared" si="10"/>
        <v>김X민</v>
      </c>
    </row>
    <row r="411" spans="2:5">
      <c r="B411" s="224" t="s">
        <v>2748</v>
      </c>
      <c r="C411" t="s">
        <v>82</v>
      </c>
      <c r="E411" t="str">
        <f t="shared" si="10"/>
        <v>정X준</v>
      </c>
    </row>
    <row r="412" spans="2:5">
      <c r="B412" s="224" t="s">
        <v>2749</v>
      </c>
      <c r="C412" t="s">
        <v>171</v>
      </c>
      <c r="E412" t="str">
        <f t="shared" si="10"/>
        <v>이X식</v>
      </c>
    </row>
    <row r="413" spans="2:5">
      <c r="B413" s="224" t="s">
        <v>2750</v>
      </c>
      <c r="C413" t="s">
        <v>172</v>
      </c>
      <c r="E413" t="str">
        <f t="shared" si="10"/>
        <v>김X민</v>
      </c>
    </row>
    <row r="414" spans="2:5">
      <c r="B414" s="224" t="s">
        <v>2751</v>
      </c>
      <c r="C414" t="s">
        <v>82</v>
      </c>
      <c r="E414" t="str">
        <f t="shared" si="10"/>
        <v>정X준</v>
      </c>
    </row>
    <row r="415" spans="2:5">
      <c r="B415" s="224" t="s">
        <v>2752</v>
      </c>
      <c r="C415" t="s">
        <v>171</v>
      </c>
      <c r="E415" t="str">
        <f t="shared" si="10"/>
        <v>이X식</v>
      </c>
    </row>
    <row r="416" spans="2:5">
      <c r="B416" s="224" t="s">
        <v>2753</v>
      </c>
      <c r="C416" t="s">
        <v>172</v>
      </c>
      <c r="E416" t="str">
        <f t="shared" si="10"/>
        <v>김X민</v>
      </c>
    </row>
    <row r="417" spans="2:5">
      <c r="B417" s="224" t="s">
        <v>2754</v>
      </c>
      <c r="C417" t="s">
        <v>82</v>
      </c>
      <c r="E417" t="str">
        <f t="shared" si="10"/>
        <v>정X준</v>
      </c>
    </row>
    <row r="418" spans="2:5">
      <c r="B418" s="224" t="s">
        <v>2755</v>
      </c>
      <c r="C418" t="s">
        <v>171</v>
      </c>
      <c r="E418" t="str">
        <f t="shared" si="10"/>
        <v>이X식</v>
      </c>
    </row>
    <row r="419" spans="2:5">
      <c r="B419" s="224" t="s">
        <v>2756</v>
      </c>
      <c r="C419" t="s">
        <v>172</v>
      </c>
      <c r="E419" t="str">
        <f t="shared" si="10"/>
        <v>김X민</v>
      </c>
    </row>
    <row r="420" spans="2:5">
      <c r="B420" s="224" t="s">
        <v>2757</v>
      </c>
      <c r="C420" t="s">
        <v>82</v>
      </c>
      <c r="E420" t="str">
        <f t="shared" si="10"/>
        <v>정X준</v>
      </c>
    </row>
    <row r="421" spans="2:5">
      <c r="B421" s="224" t="s">
        <v>2758</v>
      </c>
      <c r="C421" t="s">
        <v>171</v>
      </c>
      <c r="E421" t="str">
        <f t="shared" si="10"/>
        <v>이X식</v>
      </c>
    </row>
    <row r="422" spans="2:5">
      <c r="B422" s="224" t="s">
        <v>2759</v>
      </c>
      <c r="C422" t="s">
        <v>172</v>
      </c>
      <c r="E422" t="str">
        <f t="shared" si="10"/>
        <v>김X민</v>
      </c>
    </row>
    <row r="423" spans="2:5">
      <c r="B423" s="224" t="s">
        <v>2760</v>
      </c>
      <c r="C423" t="s">
        <v>82</v>
      </c>
      <c r="E423" t="str">
        <f t="shared" si="10"/>
        <v>정X준</v>
      </c>
    </row>
    <row r="424" spans="2:5">
      <c r="B424" s="224" t="s">
        <v>2761</v>
      </c>
      <c r="C424" t="s">
        <v>171</v>
      </c>
      <c r="E424" t="str">
        <f t="shared" si="10"/>
        <v>이X식</v>
      </c>
    </row>
    <row r="425" spans="2:5">
      <c r="B425" s="224" t="s">
        <v>2762</v>
      </c>
      <c r="C425" t="s">
        <v>172</v>
      </c>
      <c r="E425" t="str">
        <f t="shared" si="10"/>
        <v>김X민</v>
      </c>
    </row>
    <row r="426" spans="2:5">
      <c r="B426" s="224" t="s">
        <v>2763</v>
      </c>
      <c r="C426" t="s">
        <v>82</v>
      </c>
      <c r="E426" t="str">
        <f t="shared" si="10"/>
        <v>정X준</v>
      </c>
    </row>
    <row r="427" spans="2:5">
      <c r="B427" s="224" t="s">
        <v>2764</v>
      </c>
      <c r="C427" t="s">
        <v>171</v>
      </c>
      <c r="E427" t="str">
        <f t="shared" si="10"/>
        <v>이X식</v>
      </c>
    </row>
    <row r="428" spans="2:5">
      <c r="B428" s="224" t="s">
        <v>2765</v>
      </c>
      <c r="C428" t="s">
        <v>172</v>
      </c>
      <c r="E428" t="str">
        <f t="shared" si="10"/>
        <v>김X민</v>
      </c>
    </row>
    <row r="429" spans="2:5">
      <c r="B429" s="224" t="s">
        <v>2766</v>
      </c>
      <c r="C429" t="s">
        <v>82</v>
      </c>
      <c r="E429" t="str">
        <f t="shared" si="10"/>
        <v>정X준</v>
      </c>
    </row>
    <row r="430" spans="2:5">
      <c r="B430" s="224" t="s">
        <v>2767</v>
      </c>
      <c r="C430" t="s">
        <v>171</v>
      </c>
      <c r="E430" t="str">
        <f t="shared" si="10"/>
        <v>이X식</v>
      </c>
    </row>
    <row r="431" spans="2:5">
      <c r="B431" s="224" t="s">
        <v>2768</v>
      </c>
      <c r="C431" t="s">
        <v>172</v>
      </c>
      <c r="E431" t="str">
        <f t="shared" si="10"/>
        <v>김X민</v>
      </c>
    </row>
    <row r="432" spans="2:5">
      <c r="B432" s="224" t="s">
        <v>2769</v>
      </c>
      <c r="C432" t="s">
        <v>82</v>
      </c>
      <c r="E432" t="str">
        <f t="shared" si="10"/>
        <v>정X준</v>
      </c>
    </row>
    <row r="433" spans="2:5">
      <c r="B433" s="224" t="s">
        <v>2770</v>
      </c>
      <c r="C433" t="s">
        <v>171</v>
      </c>
      <c r="E433" t="str">
        <f t="shared" si="10"/>
        <v>이X식</v>
      </c>
    </row>
    <row r="434" spans="2:5">
      <c r="B434" s="224" t="s">
        <v>2771</v>
      </c>
      <c r="C434" t="s">
        <v>172</v>
      </c>
      <c r="E434" t="str">
        <f t="shared" si="10"/>
        <v>김X민</v>
      </c>
    </row>
    <row r="435" spans="2:5">
      <c r="B435" s="224" t="s">
        <v>2772</v>
      </c>
      <c r="C435" t="s">
        <v>82</v>
      </c>
      <c r="E435" t="str">
        <f t="shared" si="10"/>
        <v>정X준</v>
      </c>
    </row>
    <row r="436" spans="2:5">
      <c r="B436" s="224" t="s">
        <v>2773</v>
      </c>
      <c r="C436" t="s">
        <v>171</v>
      </c>
      <c r="E436" t="str">
        <f t="shared" si="10"/>
        <v>이X식</v>
      </c>
    </row>
    <row r="437" spans="2:5">
      <c r="B437" s="224" t="s">
        <v>2774</v>
      </c>
      <c r="C437" t="s">
        <v>172</v>
      </c>
      <c r="E437" t="str">
        <f t="shared" si="10"/>
        <v>김X민</v>
      </c>
    </row>
    <row r="438" spans="2:5">
      <c r="B438" s="224" t="s">
        <v>2775</v>
      </c>
      <c r="C438" t="s">
        <v>82</v>
      </c>
      <c r="E438" t="str">
        <f t="shared" si="10"/>
        <v>정X준</v>
      </c>
    </row>
    <row r="439" spans="2:5">
      <c r="B439" s="224" t="s">
        <v>2776</v>
      </c>
      <c r="C439" t="s">
        <v>171</v>
      </c>
      <c r="E439" t="str">
        <f t="shared" si="10"/>
        <v>이X식</v>
      </c>
    </row>
    <row r="440" spans="2:5">
      <c r="B440" s="224" t="s">
        <v>2777</v>
      </c>
      <c r="C440" t="s">
        <v>172</v>
      </c>
      <c r="E440" t="str">
        <f t="shared" si="10"/>
        <v>김X민</v>
      </c>
    </row>
    <row r="441" spans="2:5">
      <c r="B441" s="224" t="s">
        <v>2778</v>
      </c>
      <c r="C441" t="s">
        <v>82</v>
      </c>
      <c r="E441" t="str">
        <f t="shared" si="10"/>
        <v>정X준</v>
      </c>
    </row>
    <row r="442" spans="2:5">
      <c r="B442" s="224" t="s">
        <v>2779</v>
      </c>
      <c r="C442" t="s">
        <v>171</v>
      </c>
      <c r="E442" t="str">
        <f t="shared" si="10"/>
        <v>이X식</v>
      </c>
    </row>
    <row r="443" spans="2:5">
      <c r="B443" s="224" t="s">
        <v>2780</v>
      </c>
      <c r="C443" t="s">
        <v>172</v>
      </c>
      <c r="E443" t="str">
        <f t="shared" si="10"/>
        <v>김X민</v>
      </c>
    </row>
    <row r="444" spans="2:5">
      <c r="B444" s="224" t="s">
        <v>2781</v>
      </c>
      <c r="C444" t="s">
        <v>82</v>
      </c>
      <c r="E444" t="str">
        <f t="shared" si="10"/>
        <v>정X준</v>
      </c>
    </row>
    <row r="445" spans="2:5">
      <c r="B445" s="224" t="s">
        <v>2782</v>
      </c>
      <c r="C445" t="s">
        <v>171</v>
      </c>
      <c r="E445" t="str">
        <f t="shared" si="10"/>
        <v>이X식</v>
      </c>
    </row>
    <row r="446" spans="2:5">
      <c r="B446" s="224" t="s">
        <v>2783</v>
      </c>
      <c r="C446" t="s">
        <v>172</v>
      </c>
      <c r="E446" t="str">
        <f t="shared" si="10"/>
        <v>김X민</v>
      </c>
    </row>
    <row r="447" spans="2:5">
      <c r="B447" s="224" t="s">
        <v>2784</v>
      </c>
      <c r="C447" t="s">
        <v>82</v>
      </c>
      <c r="E447" t="str">
        <f t="shared" si="10"/>
        <v>정X준</v>
      </c>
    </row>
    <row r="448" spans="2:5">
      <c r="B448" s="224" t="s">
        <v>2785</v>
      </c>
      <c r="C448" t="s">
        <v>171</v>
      </c>
      <c r="E448" t="str">
        <f t="shared" si="10"/>
        <v>이X식</v>
      </c>
    </row>
    <row r="449" spans="2:5">
      <c r="B449" s="224" t="s">
        <v>2786</v>
      </c>
      <c r="C449" t="s">
        <v>172</v>
      </c>
      <c r="E449" t="str">
        <f t="shared" si="10"/>
        <v>김X민</v>
      </c>
    </row>
    <row r="450" spans="2:5">
      <c r="B450" s="224" t="s">
        <v>2787</v>
      </c>
      <c r="C450" t="s">
        <v>82</v>
      </c>
      <c r="E450" t="str">
        <f t="shared" si="10"/>
        <v>정X준</v>
      </c>
    </row>
    <row r="451" spans="2:5">
      <c r="B451" s="224" t="s">
        <v>2788</v>
      </c>
      <c r="C451" t="s">
        <v>171</v>
      </c>
      <c r="E451" t="str">
        <f t="shared" si="10"/>
        <v>이X식</v>
      </c>
    </row>
    <row r="452" spans="2:5">
      <c r="B452" s="224" t="s">
        <v>2789</v>
      </c>
      <c r="C452" t="s">
        <v>172</v>
      </c>
      <c r="E452" t="str">
        <f t="shared" ref="E452:E515" si="11">REPLACE(C452,2,1,"X")</f>
        <v>김X민</v>
      </c>
    </row>
    <row r="453" spans="2:5">
      <c r="B453" s="224" t="s">
        <v>2790</v>
      </c>
      <c r="C453" t="s">
        <v>82</v>
      </c>
      <c r="E453" t="str">
        <f t="shared" si="11"/>
        <v>정X준</v>
      </c>
    </row>
    <row r="454" spans="2:5">
      <c r="B454" s="224" t="s">
        <v>2791</v>
      </c>
      <c r="C454" t="s">
        <v>171</v>
      </c>
      <c r="E454" t="str">
        <f t="shared" si="11"/>
        <v>이X식</v>
      </c>
    </row>
    <row r="455" spans="2:5">
      <c r="B455" s="224" t="s">
        <v>2792</v>
      </c>
      <c r="C455" t="s">
        <v>172</v>
      </c>
      <c r="E455" t="str">
        <f t="shared" si="11"/>
        <v>김X민</v>
      </c>
    </row>
    <row r="456" spans="2:5">
      <c r="B456" s="224" t="s">
        <v>2793</v>
      </c>
      <c r="C456" t="s">
        <v>82</v>
      </c>
      <c r="E456" t="str">
        <f t="shared" si="11"/>
        <v>정X준</v>
      </c>
    </row>
    <row r="457" spans="2:5">
      <c r="B457" s="224" t="s">
        <v>2794</v>
      </c>
      <c r="C457" t="s">
        <v>171</v>
      </c>
      <c r="E457" t="str">
        <f t="shared" si="11"/>
        <v>이X식</v>
      </c>
    </row>
    <row r="458" spans="2:5">
      <c r="B458" s="224" t="s">
        <v>2795</v>
      </c>
      <c r="C458" t="s">
        <v>172</v>
      </c>
      <c r="E458" t="str">
        <f t="shared" si="11"/>
        <v>김X민</v>
      </c>
    </row>
    <row r="459" spans="2:5">
      <c r="B459" s="224" t="s">
        <v>2796</v>
      </c>
      <c r="C459" t="s">
        <v>82</v>
      </c>
      <c r="E459" t="str">
        <f t="shared" si="11"/>
        <v>정X준</v>
      </c>
    </row>
    <row r="460" spans="2:5">
      <c r="B460" s="224" t="s">
        <v>2797</v>
      </c>
      <c r="C460" t="s">
        <v>171</v>
      </c>
      <c r="E460" t="str">
        <f t="shared" si="11"/>
        <v>이X식</v>
      </c>
    </row>
    <row r="461" spans="2:5">
      <c r="B461" s="224" t="s">
        <v>2798</v>
      </c>
      <c r="C461" t="s">
        <v>172</v>
      </c>
      <c r="E461" t="str">
        <f t="shared" si="11"/>
        <v>김X민</v>
      </c>
    </row>
    <row r="462" spans="2:5">
      <c r="B462" s="224" t="s">
        <v>2799</v>
      </c>
      <c r="C462" t="s">
        <v>82</v>
      </c>
      <c r="E462" t="str">
        <f t="shared" si="11"/>
        <v>정X준</v>
      </c>
    </row>
    <row r="463" spans="2:5">
      <c r="B463" s="224" t="s">
        <v>2800</v>
      </c>
      <c r="C463" t="s">
        <v>171</v>
      </c>
      <c r="E463" t="str">
        <f t="shared" si="11"/>
        <v>이X식</v>
      </c>
    </row>
    <row r="464" spans="2:5">
      <c r="B464" s="224" t="s">
        <v>2801</v>
      </c>
      <c r="C464" t="s">
        <v>172</v>
      </c>
      <c r="E464" t="str">
        <f t="shared" si="11"/>
        <v>김X민</v>
      </c>
    </row>
    <row r="465" spans="2:5">
      <c r="B465" s="224" t="s">
        <v>2802</v>
      </c>
      <c r="C465" t="s">
        <v>82</v>
      </c>
      <c r="E465" t="str">
        <f t="shared" si="11"/>
        <v>정X준</v>
      </c>
    </row>
    <row r="466" spans="2:5">
      <c r="B466" s="224" t="s">
        <v>2803</v>
      </c>
      <c r="C466" t="s">
        <v>171</v>
      </c>
      <c r="E466" t="str">
        <f t="shared" si="11"/>
        <v>이X식</v>
      </c>
    </row>
    <row r="467" spans="2:5">
      <c r="B467" s="224" t="s">
        <v>2804</v>
      </c>
      <c r="C467" t="s">
        <v>172</v>
      </c>
      <c r="E467" t="str">
        <f t="shared" si="11"/>
        <v>김X민</v>
      </c>
    </row>
    <row r="468" spans="2:5">
      <c r="B468" s="224" t="s">
        <v>2805</v>
      </c>
      <c r="C468" t="s">
        <v>82</v>
      </c>
      <c r="E468" t="str">
        <f t="shared" si="11"/>
        <v>정X준</v>
      </c>
    </row>
    <row r="469" spans="2:5">
      <c r="B469" s="224" t="s">
        <v>2806</v>
      </c>
      <c r="C469" t="s">
        <v>171</v>
      </c>
      <c r="E469" t="str">
        <f t="shared" si="11"/>
        <v>이X식</v>
      </c>
    </row>
    <row r="470" spans="2:5">
      <c r="B470" s="224" t="s">
        <v>2807</v>
      </c>
      <c r="C470" t="s">
        <v>172</v>
      </c>
      <c r="E470" t="str">
        <f t="shared" si="11"/>
        <v>김X민</v>
      </c>
    </row>
    <row r="471" spans="2:5">
      <c r="B471" s="224" t="s">
        <v>2808</v>
      </c>
      <c r="C471" t="s">
        <v>82</v>
      </c>
      <c r="E471" t="str">
        <f t="shared" si="11"/>
        <v>정X준</v>
      </c>
    </row>
    <row r="472" spans="2:5">
      <c r="B472" s="224" t="s">
        <v>2809</v>
      </c>
      <c r="C472" t="s">
        <v>171</v>
      </c>
      <c r="E472" t="str">
        <f t="shared" si="11"/>
        <v>이X식</v>
      </c>
    </row>
    <row r="473" spans="2:5">
      <c r="B473" s="224" t="s">
        <v>2810</v>
      </c>
      <c r="C473" t="s">
        <v>172</v>
      </c>
      <c r="E473" t="str">
        <f t="shared" si="11"/>
        <v>김X민</v>
      </c>
    </row>
    <row r="474" spans="2:5">
      <c r="B474" s="224" t="s">
        <v>2811</v>
      </c>
      <c r="C474" t="s">
        <v>82</v>
      </c>
      <c r="E474" t="str">
        <f t="shared" si="11"/>
        <v>정X준</v>
      </c>
    </row>
    <row r="475" spans="2:5">
      <c r="B475" s="224" t="s">
        <v>2812</v>
      </c>
      <c r="C475" t="s">
        <v>171</v>
      </c>
      <c r="E475" t="str">
        <f t="shared" si="11"/>
        <v>이X식</v>
      </c>
    </row>
    <row r="476" spans="2:5">
      <c r="B476" s="224" t="s">
        <v>2813</v>
      </c>
      <c r="C476" t="s">
        <v>172</v>
      </c>
      <c r="E476" t="str">
        <f t="shared" si="11"/>
        <v>김X민</v>
      </c>
    </row>
    <row r="477" spans="2:5">
      <c r="B477" s="224" t="s">
        <v>2814</v>
      </c>
      <c r="C477" t="s">
        <v>82</v>
      </c>
      <c r="E477" t="str">
        <f t="shared" si="11"/>
        <v>정X준</v>
      </c>
    </row>
    <row r="478" spans="2:5">
      <c r="B478" s="224" t="s">
        <v>2815</v>
      </c>
      <c r="C478" t="s">
        <v>171</v>
      </c>
      <c r="E478" t="str">
        <f t="shared" si="11"/>
        <v>이X식</v>
      </c>
    </row>
    <row r="479" spans="2:5">
      <c r="B479" s="224" t="s">
        <v>2816</v>
      </c>
      <c r="C479" t="s">
        <v>172</v>
      </c>
      <c r="E479" t="str">
        <f t="shared" si="11"/>
        <v>김X민</v>
      </c>
    </row>
    <row r="480" spans="2:5">
      <c r="B480" s="224" t="s">
        <v>2817</v>
      </c>
      <c r="C480" t="s">
        <v>82</v>
      </c>
      <c r="E480" t="str">
        <f t="shared" si="11"/>
        <v>정X준</v>
      </c>
    </row>
    <row r="481" spans="2:5">
      <c r="B481" s="224" t="s">
        <v>2818</v>
      </c>
      <c r="C481" t="s">
        <v>171</v>
      </c>
      <c r="E481" t="str">
        <f t="shared" si="11"/>
        <v>이X식</v>
      </c>
    </row>
    <row r="482" spans="2:5">
      <c r="B482" s="224" t="s">
        <v>2819</v>
      </c>
      <c r="C482" t="s">
        <v>172</v>
      </c>
      <c r="E482" t="str">
        <f t="shared" si="11"/>
        <v>김X민</v>
      </c>
    </row>
    <row r="483" spans="2:5">
      <c r="B483" s="224" t="s">
        <v>2820</v>
      </c>
      <c r="C483" t="s">
        <v>82</v>
      </c>
      <c r="E483" t="str">
        <f t="shared" si="11"/>
        <v>정X준</v>
      </c>
    </row>
    <row r="484" spans="2:5">
      <c r="B484" s="224" t="s">
        <v>2821</v>
      </c>
      <c r="C484" t="s">
        <v>171</v>
      </c>
      <c r="E484" t="str">
        <f t="shared" si="11"/>
        <v>이X식</v>
      </c>
    </row>
    <row r="485" spans="2:5">
      <c r="B485" s="224" t="s">
        <v>2822</v>
      </c>
      <c r="C485" t="s">
        <v>172</v>
      </c>
      <c r="E485" t="str">
        <f t="shared" si="11"/>
        <v>김X민</v>
      </c>
    </row>
    <row r="486" spans="2:5">
      <c r="B486" s="224" t="s">
        <v>2823</v>
      </c>
      <c r="C486" t="s">
        <v>82</v>
      </c>
      <c r="E486" t="str">
        <f t="shared" si="11"/>
        <v>정X준</v>
      </c>
    </row>
    <row r="487" spans="2:5">
      <c r="B487" s="224" t="s">
        <v>2824</v>
      </c>
      <c r="C487" t="s">
        <v>171</v>
      </c>
      <c r="E487" t="str">
        <f t="shared" si="11"/>
        <v>이X식</v>
      </c>
    </row>
    <row r="488" spans="2:5">
      <c r="B488" s="224" t="s">
        <v>2825</v>
      </c>
      <c r="C488" t="s">
        <v>172</v>
      </c>
      <c r="E488" t="str">
        <f t="shared" si="11"/>
        <v>김X민</v>
      </c>
    </row>
    <row r="489" spans="2:5">
      <c r="B489" s="224" t="s">
        <v>2826</v>
      </c>
      <c r="C489" t="s">
        <v>82</v>
      </c>
      <c r="E489" t="str">
        <f t="shared" si="11"/>
        <v>정X준</v>
      </c>
    </row>
    <row r="490" spans="2:5">
      <c r="B490" s="224" t="s">
        <v>2827</v>
      </c>
      <c r="C490" t="s">
        <v>171</v>
      </c>
      <c r="E490" t="str">
        <f t="shared" si="11"/>
        <v>이X식</v>
      </c>
    </row>
    <row r="491" spans="2:5">
      <c r="B491" s="224" t="s">
        <v>2828</v>
      </c>
      <c r="C491" t="s">
        <v>172</v>
      </c>
      <c r="E491" t="str">
        <f t="shared" si="11"/>
        <v>김X민</v>
      </c>
    </row>
    <row r="492" spans="2:5">
      <c r="B492" s="224" t="s">
        <v>2829</v>
      </c>
      <c r="C492" t="s">
        <v>82</v>
      </c>
      <c r="E492" t="str">
        <f t="shared" si="11"/>
        <v>정X준</v>
      </c>
    </row>
    <row r="493" spans="2:5">
      <c r="B493" s="224" t="s">
        <v>2830</v>
      </c>
      <c r="C493" t="s">
        <v>171</v>
      </c>
      <c r="E493" t="str">
        <f t="shared" si="11"/>
        <v>이X식</v>
      </c>
    </row>
    <row r="494" spans="2:5">
      <c r="B494" s="224" t="s">
        <v>2831</v>
      </c>
      <c r="C494" t="s">
        <v>172</v>
      </c>
      <c r="E494" t="str">
        <f t="shared" si="11"/>
        <v>김X민</v>
      </c>
    </row>
    <row r="495" spans="2:5">
      <c r="B495" s="224" t="s">
        <v>2832</v>
      </c>
      <c r="C495" t="s">
        <v>82</v>
      </c>
      <c r="E495" t="str">
        <f t="shared" si="11"/>
        <v>정X준</v>
      </c>
    </row>
    <row r="496" spans="2:5">
      <c r="B496" s="224" t="s">
        <v>2833</v>
      </c>
      <c r="C496" t="s">
        <v>171</v>
      </c>
      <c r="E496" t="str">
        <f t="shared" si="11"/>
        <v>이X식</v>
      </c>
    </row>
    <row r="497" spans="2:5">
      <c r="B497" s="224" t="s">
        <v>2834</v>
      </c>
      <c r="C497" t="s">
        <v>172</v>
      </c>
      <c r="E497" t="str">
        <f t="shared" si="11"/>
        <v>김X민</v>
      </c>
    </row>
    <row r="498" spans="2:5">
      <c r="B498" s="224" t="s">
        <v>2835</v>
      </c>
      <c r="C498" t="s">
        <v>82</v>
      </c>
      <c r="E498" t="str">
        <f t="shared" si="11"/>
        <v>정X준</v>
      </c>
    </row>
    <row r="499" spans="2:5">
      <c r="B499" s="224" t="s">
        <v>2836</v>
      </c>
      <c r="C499" t="s">
        <v>171</v>
      </c>
      <c r="E499" t="str">
        <f t="shared" si="11"/>
        <v>이X식</v>
      </c>
    </row>
    <row r="500" spans="2:5">
      <c r="B500" s="224" t="s">
        <v>2837</v>
      </c>
      <c r="C500" t="s">
        <v>172</v>
      </c>
      <c r="E500" t="str">
        <f t="shared" si="11"/>
        <v>김X민</v>
      </c>
    </row>
    <row r="501" spans="2:5">
      <c r="B501" s="224" t="s">
        <v>2838</v>
      </c>
      <c r="C501" t="s">
        <v>82</v>
      </c>
      <c r="E501" t="str">
        <f t="shared" si="11"/>
        <v>정X준</v>
      </c>
    </row>
    <row r="502" spans="2:5">
      <c r="B502" s="224" t="s">
        <v>2839</v>
      </c>
      <c r="C502" t="s">
        <v>171</v>
      </c>
      <c r="E502" t="str">
        <f t="shared" si="11"/>
        <v>이X식</v>
      </c>
    </row>
    <row r="503" spans="2:5">
      <c r="B503" s="224" t="s">
        <v>2840</v>
      </c>
      <c r="C503" t="s">
        <v>172</v>
      </c>
      <c r="E503" t="str">
        <f t="shared" si="11"/>
        <v>김X민</v>
      </c>
    </row>
    <row r="504" spans="2:5">
      <c r="B504" s="224" t="s">
        <v>2841</v>
      </c>
      <c r="C504" t="s">
        <v>82</v>
      </c>
      <c r="E504" t="str">
        <f t="shared" si="11"/>
        <v>정X준</v>
      </c>
    </row>
    <row r="505" spans="2:5">
      <c r="B505" s="224" t="s">
        <v>2842</v>
      </c>
      <c r="C505" t="s">
        <v>171</v>
      </c>
      <c r="E505" t="str">
        <f t="shared" si="11"/>
        <v>이X식</v>
      </c>
    </row>
    <row r="506" spans="2:5">
      <c r="B506" s="224" t="s">
        <v>2843</v>
      </c>
      <c r="C506" t="s">
        <v>172</v>
      </c>
      <c r="E506" t="str">
        <f t="shared" si="11"/>
        <v>김X민</v>
      </c>
    </row>
    <row r="507" spans="2:5">
      <c r="B507" s="224" t="s">
        <v>2844</v>
      </c>
      <c r="C507" t="s">
        <v>82</v>
      </c>
      <c r="E507" t="str">
        <f t="shared" si="11"/>
        <v>정X준</v>
      </c>
    </row>
    <row r="508" spans="2:5">
      <c r="B508" s="224" t="s">
        <v>2845</v>
      </c>
      <c r="C508" t="s">
        <v>171</v>
      </c>
      <c r="E508" t="str">
        <f t="shared" si="11"/>
        <v>이X식</v>
      </c>
    </row>
    <row r="509" spans="2:5">
      <c r="B509" s="224" t="s">
        <v>2846</v>
      </c>
      <c r="C509" t="s">
        <v>172</v>
      </c>
      <c r="E509" t="str">
        <f t="shared" si="11"/>
        <v>김X민</v>
      </c>
    </row>
    <row r="510" spans="2:5">
      <c r="B510" s="224" t="s">
        <v>2847</v>
      </c>
      <c r="C510" t="s">
        <v>82</v>
      </c>
      <c r="E510" t="str">
        <f t="shared" si="11"/>
        <v>정X준</v>
      </c>
    </row>
    <row r="511" spans="2:5">
      <c r="B511" s="224" t="s">
        <v>2848</v>
      </c>
      <c r="C511" t="s">
        <v>171</v>
      </c>
      <c r="E511" t="str">
        <f t="shared" si="11"/>
        <v>이X식</v>
      </c>
    </row>
    <row r="512" spans="2:5">
      <c r="B512" s="224" t="s">
        <v>2849</v>
      </c>
      <c r="C512" t="s">
        <v>172</v>
      </c>
      <c r="E512" t="str">
        <f t="shared" si="11"/>
        <v>김X민</v>
      </c>
    </row>
    <row r="513" spans="2:5">
      <c r="B513" s="224" t="s">
        <v>2850</v>
      </c>
      <c r="C513" t="s">
        <v>82</v>
      </c>
      <c r="E513" t="str">
        <f t="shared" si="11"/>
        <v>정X준</v>
      </c>
    </row>
    <row r="514" spans="2:5">
      <c r="B514" s="224" t="s">
        <v>2851</v>
      </c>
      <c r="C514" t="s">
        <v>171</v>
      </c>
      <c r="E514" t="str">
        <f t="shared" si="11"/>
        <v>이X식</v>
      </c>
    </row>
    <row r="515" spans="2:5">
      <c r="B515" s="224" t="s">
        <v>2852</v>
      </c>
      <c r="C515" t="s">
        <v>172</v>
      </c>
      <c r="E515" t="str">
        <f t="shared" si="11"/>
        <v>김X민</v>
      </c>
    </row>
    <row r="516" spans="2:5">
      <c r="B516" s="224" t="s">
        <v>2853</v>
      </c>
      <c r="C516" t="s">
        <v>82</v>
      </c>
      <c r="E516" t="str">
        <f t="shared" ref="E516:E579" si="12">REPLACE(C516,2,1,"X")</f>
        <v>정X준</v>
      </c>
    </row>
    <row r="517" spans="2:5">
      <c r="B517" s="224" t="s">
        <v>2854</v>
      </c>
      <c r="C517" t="s">
        <v>171</v>
      </c>
      <c r="E517" t="str">
        <f t="shared" si="12"/>
        <v>이X식</v>
      </c>
    </row>
    <row r="518" spans="2:5">
      <c r="B518" s="224" t="s">
        <v>2855</v>
      </c>
      <c r="C518" t="s">
        <v>172</v>
      </c>
      <c r="E518" t="str">
        <f t="shared" si="12"/>
        <v>김X민</v>
      </c>
    </row>
    <row r="519" spans="2:5">
      <c r="B519" s="224" t="s">
        <v>2856</v>
      </c>
      <c r="C519" t="s">
        <v>82</v>
      </c>
      <c r="E519" t="str">
        <f t="shared" si="12"/>
        <v>정X준</v>
      </c>
    </row>
    <row r="520" spans="2:5">
      <c r="B520" s="224" t="s">
        <v>2857</v>
      </c>
      <c r="C520" t="s">
        <v>171</v>
      </c>
      <c r="E520" t="str">
        <f t="shared" si="12"/>
        <v>이X식</v>
      </c>
    </row>
    <row r="521" spans="2:5">
      <c r="B521" s="224" t="s">
        <v>2858</v>
      </c>
      <c r="C521" t="s">
        <v>172</v>
      </c>
      <c r="E521" t="str">
        <f t="shared" si="12"/>
        <v>김X민</v>
      </c>
    </row>
    <row r="522" spans="2:5">
      <c r="B522" s="224" t="s">
        <v>2859</v>
      </c>
      <c r="C522" t="s">
        <v>82</v>
      </c>
      <c r="E522" t="str">
        <f t="shared" si="12"/>
        <v>정X준</v>
      </c>
    </row>
    <row r="523" spans="2:5">
      <c r="B523" s="224" t="s">
        <v>2860</v>
      </c>
      <c r="C523" t="s">
        <v>171</v>
      </c>
      <c r="E523" t="str">
        <f t="shared" si="12"/>
        <v>이X식</v>
      </c>
    </row>
    <row r="524" spans="2:5">
      <c r="B524" s="224" t="s">
        <v>2861</v>
      </c>
      <c r="C524" t="s">
        <v>172</v>
      </c>
      <c r="E524" t="str">
        <f t="shared" si="12"/>
        <v>김X민</v>
      </c>
    </row>
    <row r="525" spans="2:5">
      <c r="B525" s="224" t="s">
        <v>2862</v>
      </c>
      <c r="C525" t="s">
        <v>82</v>
      </c>
      <c r="E525" t="str">
        <f t="shared" si="12"/>
        <v>정X준</v>
      </c>
    </row>
    <row r="526" spans="2:5">
      <c r="B526" s="224" t="s">
        <v>2863</v>
      </c>
      <c r="C526" t="s">
        <v>171</v>
      </c>
      <c r="E526" t="str">
        <f t="shared" si="12"/>
        <v>이X식</v>
      </c>
    </row>
    <row r="527" spans="2:5">
      <c r="B527" s="224" t="s">
        <v>2864</v>
      </c>
      <c r="C527" t="s">
        <v>172</v>
      </c>
      <c r="E527" t="str">
        <f t="shared" si="12"/>
        <v>김X민</v>
      </c>
    </row>
    <row r="528" spans="2:5">
      <c r="B528" s="224" t="s">
        <v>2865</v>
      </c>
      <c r="C528" t="s">
        <v>82</v>
      </c>
      <c r="E528" t="str">
        <f t="shared" si="12"/>
        <v>정X준</v>
      </c>
    </row>
    <row r="529" spans="2:5">
      <c r="B529" s="224" t="s">
        <v>2866</v>
      </c>
      <c r="C529" t="s">
        <v>171</v>
      </c>
      <c r="E529" t="str">
        <f t="shared" si="12"/>
        <v>이X식</v>
      </c>
    </row>
    <row r="530" spans="2:5">
      <c r="B530" s="224" t="s">
        <v>2867</v>
      </c>
      <c r="C530" t="s">
        <v>172</v>
      </c>
      <c r="E530" t="str">
        <f t="shared" si="12"/>
        <v>김X민</v>
      </c>
    </row>
    <row r="531" spans="2:5">
      <c r="B531" s="224" t="s">
        <v>2868</v>
      </c>
      <c r="C531" t="s">
        <v>82</v>
      </c>
      <c r="E531" t="str">
        <f t="shared" si="12"/>
        <v>정X준</v>
      </c>
    </row>
    <row r="532" spans="2:5">
      <c r="B532" s="224" t="s">
        <v>2869</v>
      </c>
      <c r="C532" t="s">
        <v>171</v>
      </c>
      <c r="E532" t="str">
        <f t="shared" si="12"/>
        <v>이X식</v>
      </c>
    </row>
    <row r="533" spans="2:5">
      <c r="B533" s="224" t="s">
        <v>2870</v>
      </c>
      <c r="C533" t="s">
        <v>172</v>
      </c>
      <c r="E533" t="str">
        <f t="shared" si="12"/>
        <v>김X민</v>
      </c>
    </row>
    <row r="534" spans="2:5">
      <c r="B534" s="224" t="s">
        <v>2871</v>
      </c>
      <c r="C534" t="s">
        <v>82</v>
      </c>
      <c r="E534" t="str">
        <f t="shared" si="12"/>
        <v>정X준</v>
      </c>
    </row>
    <row r="535" spans="2:5">
      <c r="B535" s="224" t="s">
        <v>2872</v>
      </c>
      <c r="C535" t="s">
        <v>171</v>
      </c>
      <c r="E535" t="str">
        <f t="shared" si="12"/>
        <v>이X식</v>
      </c>
    </row>
    <row r="536" spans="2:5">
      <c r="B536" s="224" t="s">
        <v>2873</v>
      </c>
      <c r="C536" t="s">
        <v>172</v>
      </c>
      <c r="E536" t="str">
        <f t="shared" si="12"/>
        <v>김X민</v>
      </c>
    </row>
    <row r="537" spans="2:5">
      <c r="B537" s="224" t="s">
        <v>2874</v>
      </c>
      <c r="C537" t="s">
        <v>82</v>
      </c>
      <c r="E537" t="str">
        <f t="shared" si="12"/>
        <v>정X준</v>
      </c>
    </row>
    <row r="538" spans="2:5">
      <c r="B538" s="224" t="s">
        <v>2875</v>
      </c>
      <c r="C538" t="s">
        <v>171</v>
      </c>
      <c r="E538" t="str">
        <f t="shared" si="12"/>
        <v>이X식</v>
      </c>
    </row>
    <row r="539" spans="2:5">
      <c r="B539" s="224" t="s">
        <v>2876</v>
      </c>
      <c r="C539" t="s">
        <v>172</v>
      </c>
      <c r="E539" t="str">
        <f t="shared" si="12"/>
        <v>김X민</v>
      </c>
    </row>
    <row r="540" spans="2:5">
      <c r="B540" s="224" t="s">
        <v>2877</v>
      </c>
      <c r="C540" t="s">
        <v>82</v>
      </c>
      <c r="E540" t="str">
        <f t="shared" si="12"/>
        <v>정X준</v>
      </c>
    </row>
    <row r="541" spans="2:5">
      <c r="B541" s="224" t="s">
        <v>2878</v>
      </c>
      <c r="C541" t="s">
        <v>171</v>
      </c>
      <c r="E541" t="str">
        <f t="shared" si="12"/>
        <v>이X식</v>
      </c>
    </row>
    <row r="542" spans="2:5">
      <c r="B542" s="224" t="s">
        <v>2879</v>
      </c>
      <c r="C542" t="s">
        <v>172</v>
      </c>
      <c r="E542" t="str">
        <f t="shared" si="12"/>
        <v>김X민</v>
      </c>
    </row>
    <row r="543" spans="2:5">
      <c r="B543" s="224" t="s">
        <v>2880</v>
      </c>
      <c r="C543" t="s">
        <v>82</v>
      </c>
      <c r="E543" t="str">
        <f t="shared" si="12"/>
        <v>정X준</v>
      </c>
    </row>
    <row r="544" spans="2:5">
      <c r="B544" s="224" t="s">
        <v>2881</v>
      </c>
      <c r="C544" t="s">
        <v>171</v>
      </c>
      <c r="E544" t="str">
        <f t="shared" si="12"/>
        <v>이X식</v>
      </c>
    </row>
    <row r="545" spans="2:5">
      <c r="B545" s="224" t="s">
        <v>2882</v>
      </c>
      <c r="C545" t="s">
        <v>172</v>
      </c>
      <c r="E545" t="str">
        <f t="shared" si="12"/>
        <v>김X민</v>
      </c>
    </row>
    <row r="546" spans="2:5">
      <c r="B546" s="224" t="s">
        <v>2883</v>
      </c>
      <c r="C546" t="s">
        <v>82</v>
      </c>
      <c r="E546" t="str">
        <f t="shared" si="12"/>
        <v>정X준</v>
      </c>
    </row>
    <row r="547" spans="2:5">
      <c r="B547" s="224" t="s">
        <v>2884</v>
      </c>
      <c r="C547" t="s">
        <v>171</v>
      </c>
      <c r="E547" t="str">
        <f t="shared" si="12"/>
        <v>이X식</v>
      </c>
    </row>
    <row r="548" spans="2:5">
      <c r="B548" s="224" t="s">
        <v>2885</v>
      </c>
      <c r="C548" t="s">
        <v>172</v>
      </c>
      <c r="E548" t="str">
        <f t="shared" si="12"/>
        <v>김X민</v>
      </c>
    </row>
    <row r="549" spans="2:5">
      <c r="B549" s="224" t="s">
        <v>2886</v>
      </c>
      <c r="C549" t="s">
        <v>82</v>
      </c>
      <c r="E549" t="str">
        <f t="shared" si="12"/>
        <v>정X준</v>
      </c>
    </row>
    <row r="550" spans="2:5">
      <c r="B550" s="224" t="s">
        <v>2887</v>
      </c>
      <c r="C550" t="s">
        <v>171</v>
      </c>
      <c r="E550" t="str">
        <f t="shared" si="12"/>
        <v>이X식</v>
      </c>
    </row>
    <row r="551" spans="2:5">
      <c r="B551" s="224" t="s">
        <v>2888</v>
      </c>
      <c r="C551" t="s">
        <v>172</v>
      </c>
      <c r="E551" t="str">
        <f t="shared" si="12"/>
        <v>김X민</v>
      </c>
    </row>
    <row r="552" spans="2:5">
      <c r="B552" s="224" t="s">
        <v>2889</v>
      </c>
      <c r="C552" t="s">
        <v>82</v>
      </c>
      <c r="E552" t="str">
        <f t="shared" si="12"/>
        <v>정X준</v>
      </c>
    </row>
    <row r="553" spans="2:5">
      <c r="B553" s="224" t="s">
        <v>2890</v>
      </c>
      <c r="C553" t="s">
        <v>171</v>
      </c>
      <c r="E553" t="str">
        <f t="shared" si="12"/>
        <v>이X식</v>
      </c>
    </row>
    <row r="554" spans="2:5">
      <c r="B554" s="224" t="s">
        <v>2891</v>
      </c>
      <c r="C554" t="s">
        <v>172</v>
      </c>
      <c r="E554" t="str">
        <f t="shared" si="12"/>
        <v>김X민</v>
      </c>
    </row>
    <row r="555" spans="2:5">
      <c r="B555" s="224" t="s">
        <v>2892</v>
      </c>
      <c r="C555" t="s">
        <v>82</v>
      </c>
      <c r="E555" t="str">
        <f t="shared" si="12"/>
        <v>정X준</v>
      </c>
    </row>
    <row r="556" spans="2:5">
      <c r="B556" s="224" t="s">
        <v>2893</v>
      </c>
      <c r="C556" t="s">
        <v>171</v>
      </c>
      <c r="E556" t="str">
        <f t="shared" si="12"/>
        <v>이X식</v>
      </c>
    </row>
    <row r="557" spans="2:5">
      <c r="B557" s="224" t="s">
        <v>2894</v>
      </c>
      <c r="C557" t="s">
        <v>172</v>
      </c>
      <c r="E557" t="str">
        <f t="shared" si="12"/>
        <v>김X민</v>
      </c>
    </row>
    <row r="558" spans="2:5">
      <c r="B558" s="224" t="s">
        <v>2895</v>
      </c>
      <c r="C558" t="s">
        <v>82</v>
      </c>
      <c r="E558" t="str">
        <f t="shared" si="12"/>
        <v>정X준</v>
      </c>
    </row>
    <row r="559" spans="2:5">
      <c r="B559" s="224" t="s">
        <v>2896</v>
      </c>
      <c r="C559" t="s">
        <v>171</v>
      </c>
      <c r="E559" t="str">
        <f t="shared" si="12"/>
        <v>이X식</v>
      </c>
    </row>
    <row r="560" spans="2:5">
      <c r="B560" s="224" t="s">
        <v>2897</v>
      </c>
      <c r="C560" t="s">
        <v>172</v>
      </c>
      <c r="E560" t="str">
        <f t="shared" si="12"/>
        <v>김X민</v>
      </c>
    </row>
    <row r="561" spans="2:5">
      <c r="B561" s="224" t="s">
        <v>2898</v>
      </c>
      <c r="C561" t="s">
        <v>82</v>
      </c>
      <c r="E561" t="str">
        <f t="shared" si="12"/>
        <v>정X준</v>
      </c>
    </row>
    <row r="562" spans="2:5">
      <c r="B562" s="224" t="s">
        <v>2899</v>
      </c>
      <c r="C562" t="s">
        <v>171</v>
      </c>
      <c r="E562" t="str">
        <f t="shared" si="12"/>
        <v>이X식</v>
      </c>
    </row>
    <row r="563" spans="2:5">
      <c r="B563" s="224" t="s">
        <v>2900</v>
      </c>
      <c r="C563" t="s">
        <v>172</v>
      </c>
      <c r="E563" t="str">
        <f t="shared" si="12"/>
        <v>김X민</v>
      </c>
    </row>
    <row r="564" spans="2:5">
      <c r="B564" s="224" t="s">
        <v>2901</v>
      </c>
      <c r="C564" t="s">
        <v>82</v>
      </c>
      <c r="E564" t="str">
        <f t="shared" si="12"/>
        <v>정X준</v>
      </c>
    </row>
    <row r="565" spans="2:5">
      <c r="B565" s="224" t="s">
        <v>2902</v>
      </c>
      <c r="C565" t="s">
        <v>171</v>
      </c>
      <c r="E565" t="str">
        <f t="shared" si="12"/>
        <v>이X식</v>
      </c>
    </row>
    <row r="566" spans="2:5">
      <c r="B566" s="224" t="s">
        <v>2903</v>
      </c>
      <c r="C566" t="s">
        <v>172</v>
      </c>
      <c r="E566" t="str">
        <f t="shared" si="12"/>
        <v>김X민</v>
      </c>
    </row>
    <row r="567" spans="2:5">
      <c r="B567" s="224" t="s">
        <v>2904</v>
      </c>
      <c r="C567" t="s">
        <v>82</v>
      </c>
      <c r="E567" t="str">
        <f t="shared" si="12"/>
        <v>정X준</v>
      </c>
    </row>
    <row r="568" spans="2:5">
      <c r="B568" s="224" t="s">
        <v>2905</v>
      </c>
      <c r="C568" t="s">
        <v>171</v>
      </c>
      <c r="E568" t="str">
        <f t="shared" si="12"/>
        <v>이X식</v>
      </c>
    </row>
    <row r="569" spans="2:5">
      <c r="B569" s="224" t="s">
        <v>2906</v>
      </c>
      <c r="C569" t="s">
        <v>172</v>
      </c>
      <c r="E569" t="str">
        <f t="shared" si="12"/>
        <v>김X민</v>
      </c>
    </row>
    <row r="570" spans="2:5">
      <c r="B570" s="224" t="s">
        <v>2907</v>
      </c>
      <c r="C570" t="s">
        <v>82</v>
      </c>
      <c r="E570" t="str">
        <f t="shared" si="12"/>
        <v>정X준</v>
      </c>
    </row>
    <row r="571" spans="2:5">
      <c r="B571" s="224" t="s">
        <v>2908</v>
      </c>
      <c r="C571" t="s">
        <v>171</v>
      </c>
      <c r="E571" t="str">
        <f t="shared" si="12"/>
        <v>이X식</v>
      </c>
    </row>
    <row r="572" spans="2:5">
      <c r="B572" s="224" t="s">
        <v>2909</v>
      </c>
      <c r="C572" t="s">
        <v>172</v>
      </c>
      <c r="E572" t="str">
        <f t="shared" si="12"/>
        <v>김X민</v>
      </c>
    </row>
    <row r="573" spans="2:5">
      <c r="B573" s="224" t="s">
        <v>2910</v>
      </c>
      <c r="C573" t="s">
        <v>82</v>
      </c>
      <c r="E573" t="str">
        <f t="shared" si="12"/>
        <v>정X준</v>
      </c>
    </row>
    <row r="574" spans="2:5">
      <c r="B574" s="224" t="s">
        <v>2911</v>
      </c>
      <c r="C574" t="s">
        <v>171</v>
      </c>
      <c r="E574" t="str">
        <f t="shared" si="12"/>
        <v>이X식</v>
      </c>
    </row>
    <row r="575" spans="2:5">
      <c r="B575" s="224" t="s">
        <v>2912</v>
      </c>
      <c r="C575" t="s">
        <v>172</v>
      </c>
      <c r="E575" t="str">
        <f t="shared" si="12"/>
        <v>김X민</v>
      </c>
    </row>
    <row r="576" spans="2:5">
      <c r="B576" s="224" t="s">
        <v>2913</v>
      </c>
      <c r="C576" t="s">
        <v>82</v>
      </c>
      <c r="E576" t="str">
        <f t="shared" si="12"/>
        <v>정X준</v>
      </c>
    </row>
    <row r="577" spans="2:5">
      <c r="B577" s="224" t="s">
        <v>2914</v>
      </c>
      <c r="C577" t="s">
        <v>171</v>
      </c>
      <c r="E577" t="str">
        <f t="shared" si="12"/>
        <v>이X식</v>
      </c>
    </row>
    <row r="578" spans="2:5">
      <c r="B578" s="224" t="s">
        <v>2915</v>
      </c>
      <c r="C578" t="s">
        <v>172</v>
      </c>
      <c r="E578" t="str">
        <f t="shared" si="12"/>
        <v>김X민</v>
      </c>
    </row>
    <row r="579" spans="2:5">
      <c r="B579" s="224" t="s">
        <v>2916</v>
      </c>
      <c r="C579" t="s">
        <v>82</v>
      </c>
      <c r="E579" t="str">
        <f t="shared" si="12"/>
        <v>정X준</v>
      </c>
    </row>
    <row r="580" spans="2:5">
      <c r="B580" s="224" t="s">
        <v>2917</v>
      </c>
      <c r="C580" t="s">
        <v>171</v>
      </c>
      <c r="E580" t="str">
        <f t="shared" ref="E580:E643" si="13">REPLACE(C580,2,1,"X")</f>
        <v>이X식</v>
      </c>
    </row>
    <row r="581" spans="2:5">
      <c r="B581" s="224" t="s">
        <v>2918</v>
      </c>
      <c r="C581" t="s">
        <v>172</v>
      </c>
      <c r="E581" t="str">
        <f t="shared" si="13"/>
        <v>김X민</v>
      </c>
    </row>
    <row r="582" spans="2:5">
      <c r="B582" s="224" t="s">
        <v>2919</v>
      </c>
      <c r="C582" t="s">
        <v>82</v>
      </c>
      <c r="E582" t="str">
        <f t="shared" si="13"/>
        <v>정X준</v>
      </c>
    </row>
    <row r="583" spans="2:5">
      <c r="B583" s="224" t="s">
        <v>2920</v>
      </c>
      <c r="C583" t="s">
        <v>171</v>
      </c>
      <c r="E583" t="str">
        <f t="shared" si="13"/>
        <v>이X식</v>
      </c>
    </row>
    <row r="584" spans="2:5">
      <c r="B584" s="224" t="s">
        <v>2921</v>
      </c>
      <c r="C584" t="s">
        <v>172</v>
      </c>
      <c r="E584" t="str">
        <f t="shared" si="13"/>
        <v>김X민</v>
      </c>
    </row>
    <row r="585" spans="2:5">
      <c r="B585" s="224" t="s">
        <v>2922</v>
      </c>
      <c r="C585" t="s">
        <v>82</v>
      </c>
      <c r="E585" t="str">
        <f t="shared" si="13"/>
        <v>정X준</v>
      </c>
    </row>
    <row r="586" spans="2:5">
      <c r="B586" s="224" t="s">
        <v>2923</v>
      </c>
      <c r="C586" t="s">
        <v>171</v>
      </c>
      <c r="E586" t="str">
        <f t="shared" si="13"/>
        <v>이X식</v>
      </c>
    </row>
    <row r="587" spans="2:5">
      <c r="B587" s="224" t="s">
        <v>2924</v>
      </c>
      <c r="C587" t="s">
        <v>172</v>
      </c>
      <c r="E587" t="str">
        <f t="shared" si="13"/>
        <v>김X민</v>
      </c>
    </row>
    <row r="588" spans="2:5">
      <c r="B588" s="224" t="s">
        <v>2925</v>
      </c>
      <c r="C588" t="s">
        <v>82</v>
      </c>
      <c r="E588" t="str">
        <f t="shared" si="13"/>
        <v>정X준</v>
      </c>
    </row>
    <row r="589" spans="2:5">
      <c r="B589" s="224" t="s">
        <v>2926</v>
      </c>
      <c r="C589" t="s">
        <v>171</v>
      </c>
      <c r="E589" t="str">
        <f t="shared" si="13"/>
        <v>이X식</v>
      </c>
    </row>
    <row r="590" spans="2:5">
      <c r="B590" s="224" t="s">
        <v>2927</v>
      </c>
      <c r="C590" t="s">
        <v>172</v>
      </c>
      <c r="E590" t="str">
        <f t="shared" si="13"/>
        <v>김X민</v>
      </c>
    </row>
    <row r="591" spans="2:5">
      <c r="B591" s="224" t="s">
        <v>2928</v>
      </c>
      <c r="C591" t="s">
        <v>82</v>
      </c>
      <c r="E591" t="str">
        <f t="shared" si="13"/>
        <v>정X준</v>
      </c>
    </row>
    <row r="592" spans="2:5">
      <c r="B592" s="224" t="s">
        <v>2929</v>
      </c>
      <c r="C592" t="s">
        <v>171</v>
      </c>
      <c r="E592" t="str">
        <f t="shared" si="13"/>
        <v>이X식</v>
      </c>
    </row>
    <row r="593" spans="2:5">
      <c r="B593" s="224" t="s">
        <v>2930</v>
      </c>
      <c r="C593" t="s">
        <v>172</v>
      </c>
      <c r="E593" t="str">
        <f t="shared" si="13"/>
        <v>김X민</v>
      </c>
    </row>
    <row r="594" spans="2:5">
      <c r="B594" s="224" t="s">
        <v>2931</v>
      </c>
      <c r="C594" t="s">
        <v>82</v>
      </c>
      <c r="E594" t="str">
        <f t="shared" si="13"/>
        <v>정X준</v>
      </c>
    </row>
    <row r="595" spans="2:5">
      <c r="B595" s="224" t="s">
        <v>2932</v>
      </c>
      <c r="C595" t="s">
        <v>171</v>
      </c>
      <c r="E595" t="str">
        <f t="shared" si="13"/>
        <v>이X식</v>
      </c>
    </row>
    <row r="596" spans="2:5">
      <c r="B596" s="224" t="s">
        <v>2933</v>
      </c>
      <c r="C596" t="s">
        <v>172</v>
      </c>
      <c r="E596" t="str">
        <f t="shared" si="13"/>
        <v>김X민</v>
      </c>
    </row>
    <row r="597" spans="2:5">
      <c r="B597" s="224" t="s">
        <v>2934</v>
      </c>
      <c r="C597" t="s">
        <v>82</v>
      </c>
      <c r="E597" t="str">
        <f t="shared" si="13"/>
        <v>정X준</v>
      </c>
    </row>
    <row r="598" spans="2:5">
      <c r="B598" s="224" t="s">
        <v>2935</v>
      </c>
      <c r="C598" t="s">
        <v>171</v>
      </c>
      <c r="E598" t="str">
        <f t="shared" si="13"/>
        <v>이X식</v>
      </c>
    </row>
    <row r="599" spans="2:5">
      <c r="B599" s="224" t="s">
        <v>2936</v>
      </c>
      <c r="C599" t="s">
        <v>172</v>
      </c>
      <c r="E599" t="str">
        <f t="shared" si="13"/>
        <v>김X민</v>
      </c>
    </row>
    <row r="600" spans="2:5">
      <c r="B600" s="224" t="s">
        <v>2937</v>
      </c>
      <c r="C600" t="s">
        <v>82</v>
      </c>
      <c r="E600" t="str">
        <f t="shared" si="13"/>
        <v>정X준</v>
      </c>
    </row>
    <row r="601" spans="2:5">
      <c r="B601" s="224" t="s">
        <v>2938</v>
      </c>
      <c r="C601" t="s">
        <v>171</v>
      </c>
      <c r="E601" t="str">
        <f t="shared" si="13"/>
        <v>이X식</v>
      </c>
    </row>
    <row r="602" spans="2:5">
      <c r="B602" s="224" t="s">
        <v>2939</v>
      </c>
      <c r="C602" t="s">
        <v>172</v>
      </c>
      <c r="E602" t="str">
        <f t="shared" si="13"/>
        <v>김X민</v>
      </c>
    </row>
    <row r="603" spans="2:5">
      <c r="B603" s="224" t="s">
        <v>2940</v>
      </c>
      <c r="C603" t="s">
        <v>82</v>
      </c>
      <c r="E603" t="str">
        <f t="shared" si="13"/>
        <v>정X준</v>
      </c>
    </row>
    <row r="604" spans="2:5">
      <c r="B604" s="224" t="s">
        <v>2941</v>
      </c>
      <c r="C604" t="s">
        <v>171</v>
      </c>
      <c r="E604" t="str">
        <f t="shared" si="13"/>
        <v>이X식</v>
      </c>
    </row>
    <row r="605" spans="2:5">
      <c r="B605" s="224" t="s">
        <v>2942</v>
      </c>
      <c r="C605" t="s">
        <v>172</v>
      </c>
      <c r="E605" t="str">
        <f t="shared" si="13"/>
        <v>김X민</v>
      </c>
    </row>
    <row r="606" spans="2:5">
      <c r="B606" s="224" t="s">
        <v>2943</v>
      </c>
      <c r="C606" t="s">
        <v>82</v>
      </c>
      <c r="E606" t="str">
        <f t="shared" si="13"/>
        <v>정X준</v>
      </c>
    </row>
    <row r="607" spans="2:5">
      <c r="B607" s="224" t="s">
        <v>2944</v>
      </c>
      <c r="C607" t="s">
        <v>171</v>
      </c>
      <c r="E607" t="str">
        <f t="shared" si="13"/>
        <v>이X식</v>
      </c>
    </row>
    <row r="608" spans="2:5">
      <c r="B608" s="224" t="s">
        <v>2945</v>
      </c>
      <c r="C608" t="s">
        <v>172</v>
      </c>
      <c r="E608" t="str">
        <f t="shared" si="13"/>
        <v>김X민</v>
      </c>
    </row>
    <row r="609" spans="2:5">
      <c r="B609" s="224" t="s">
        <v>2946</v>
      </c>
      <c r="C609" t="s">
        <v>82</v>
      </c>
      <c r="E609" t="str">
        <f t="shared" si="13"/>
        <v>정X준</v>
      </c>
    </row>
    <row r="610" spans="2:5">
      <c r="B610" s="224" t="s">
        <v>2947</v>
      </c>
      <c r="C610" t="s">
        <v>171</v>
      </c>
      <c r="E610" t="str">
        <f t="shared" si="13"/>
        <v>이X식</v>
      </c>
    </row>
    <row r="611" spans="2:5">
      <c r="B611" s="224" t="s">
        <v>2948</v>
      </c>
      <c r="C611" t="s">
        <v>172</v>
      </c>
      <c r="E611" t="str">
        <f t="shared" si="13"/>
        <v>김X민</v>
      </c>
    </row>
    <row r="612" spans="2:5">
      <c r="B612" s="224" t="s">
        <v>2949</v>
      </c>
      <c r="C612" t="s">
        <v>82</v>
      </c>
      <c r="E612" t="str">
        <f t="shared" si="13"/>
        <v>정X준</v>
      </c>
    </row>
    <row r="613" spans="2:5">
      <c r="B613" s="224" t="s">
        <v>2950</v>
      </c>
      <c r="C613" t="s">
        <v>171</v>
      </c>
      <c r="E613" t="str">
        <f t="shared" si="13"/>
        <v>이X식</v>
      </c>
    </row>
    <row r="614" spans="2:5">
      <c r="B614" s="224" t="s">
        <v>2951</v>
      </c>
      <c r="C614" t="s">
        <v>172</v>
      </c>
      <c r="E614" t="str">
        <f t="shared" si="13"/>
        <v>김X민</v>
      </c>
    </row>
    <row r="615" spans="2:5">
      <c r="B615" s="224" t="s">
        <v>2952</v>
      </c>
      <c r="C615" t="s">
        <v>82</v>
      </c>
      <c r="E615" t="str">
        <f t="shared" si="13"/>
        <v>정X준</v>
      </c>
    </row>
    <row r="616" spans="2:5">
      <c r="B616" s="224" t="s">
        <v>2953</v>
      </c>
      <c r="C616" t="s">
        <v>171</v>
      </c>
      <c r="E616" t="str">
        <f t="shared" si="13"/>
        <v>이X식</v>
      </c>
    </row>
    <row r="617" spans="2:5">
      <c r="B617" s="224" t="s">
        <v>2954</v>
      </c>
      <c r="C617" t="s">
        <v>172</v>
      </c>
      <c r="E617" t="str">
        <f t="shared" si="13"/>
        <v>김X민</v>
      </c>
    </row>
    <row r="618" spans="2:5">
      <c r="B618" s="224" t="s">
        <v>2955</v>
      </c>
      <c r="C618" t="s">
        <v>82</v>
      </c>
      <c r="E618" t="str">
        <f t="shared" si="13"/>
        <v>정X준</v>
      </c>
    </row>
    <row r="619" spans="2:5">
      <c r="B619" s="224" t="s">
        <v>2956</v>
      </c>
      <c r="C619" t="s">
        <v>171</v>
      </c>
      <c r="E619" t="str">
        <f t="shared" si="13"/>
        <v>이X식</v>
      </c>
    </row>
    <row r="620" spans="2:5">
      <c r="B620" s="224" t="s">
        <v>2957</v>
      </c>
      <c r="C620" t="s">
        <v>172</v>
      </c>
      <c r="E620" t="str">
        <f t="shared" si="13"/>
        <v>김X민</v>
      </c>
    </row>
    <row r="621" spans="2:5">
      <c r="B621" s="224" t="s">
        <v>2958</v>
      </c>
      <c r="C621" t="s">
        <v>82</v>
      </c>
      <c r="E621" t="str">
        <f t="shared" si="13"/>
        <v>정X준</v>
      </c>
    </row>
    <row r="622" spans="2:5">
      <c r="B622" s="224" t="s">
        <v>2959</v>
      </c>
      <c r="C622" t="s">
        <v>171</v>
      </c>
      <c r="E622" t="str">
        <f t="shared" si="13"/>
        <v>이X식</v>
      </c>
    </row>
    <row r="623" spans="2:5">
      <c r="B623" s="224" t="s">
        <v>2960</v>
      </c>
      <c r="C623" t="s">
        <v>172</v>
      </c>
      <c r="E623" t="str">
        <f t="shared" si="13"/>
        <v>김X민</v>
      </c>
    </row>
    <row r="624" spans="2:5">
      <c r="B624" s="224" t="s">
        <v>2961</v>
      </c>
      <c r="C624" t="s">
        <v>82</v>
      </c>
      <c r="E624" t="str">
        <f t="shared" si="13"/>
        <v>정X준</v>
      </c>
    </row>
    <row r="625" spans="2:5">
      <c r="B625" s="224" t="s">
        <v>2962</v>
      </c>
      <c r="C625" t="s">
        <v>171</v>
      </c>
      <c r="E625" t="str">
        <f t="shared" si="13"/>
        <v>이X식</v>
      </c>
    </row>
    <row r="626" spans="2:5">
      <c r="B626" s="224" t="s">
        <v>2963</v>
      </c>
      <c r="C626" t="s">
        <v>172</v>
      </c>
      <c r="E626" t="str">
        <f t="shared" si="13"/>
        <v>김X민</v>
      </c>
    </row>
    <row r="627" spans="2:5">
      <c r="B627" s="224" t="s">
        <v>2964</v>
      </c>
      <c r="C627" t="s">
        <v>82</v>
      </c>
      <c r="E627" t="str">
        <f t="shared" si="13"/>
        <v>정X준</v>
      </c>
    </row>
    <row r="628" spans="2:5">
      <c r="B628" s="224" t="s">
        <v>2965</v>
      </c>
      <c r="C628" t="s">
        <v>171</v>
      </c>
      <c r="E628" t="str">
        <f t="shared" si="13"/>
        <v>이X식</v>
      </c>
    </row>
    <row r="629" spans="2:5">
      <c r="B629" s="224" t="s">
        <v>2966</v>
      </c>
      <c r="C629" t="s">
        <v>172</v>
      </c>
      <c r="E629" t="str">
        <f t="shared" si="13"/>
        <v>김X민</v>
      </c>
    </row>
    <row r="630" spans="2:5">
      <c r="B630" s="224" t="s">
        <v>2967</v>
      </c>
      <c r="C630" t="s">
        <v>82</v>
      </c>
      <c r="E630" t="str">
        <f t="shared" si="13"/>
        <v>정X준</v>
      </c>
    </row>
    <row r="631" spans="2:5">
      <c r="B631" s="224" t="s">
        <v>2968</v>
      </c>
      <c r="C631" t="s">
        <v>171</v>
      </c>
      <c r="E631" t="str">
        <f t="shared" si="13"/>
        <v>이X식</v>
      </c>
    </row>
    <row r="632" spans="2:5">
      <c r="B632" s="224" t="s">
        <v>2969</v>
      </c>
      <c r="C632" t="s">
        <v>172</v>
      </c>
      <c r="E632" t="str">
        <f t="shared" si="13"/>
        <v>김X민</v>
      </c>
    </row>
    <row r="633" spans="2:5">
      <c r="B633" s="224" t="s">
        <v>2970</v>
      </c>
      <c r="C633" t="s">
        <v>82</v>
      </c>
      <c r="E633" t="str">
        <f t="shared" si="13"/>
        <v>정X준</v>
      </c>
    </row>
    <row r="634" spans="2:5">
      <c r="B634" s="224" t="s">
        <v>2971</v>
      </c>
      <c r="C634" t="s">
        <v>171</v>
      </c>
      <c r="E634" t="str">
        <f t="shared" si="13"/>
        <v>이X식</v>
      </c>
    </row>
    <row r="635" spans="2:5">
      <c r="B635" s="224" t="s">
        <v>2972</v>
      </c>
      <c r="C635" t="s">
        <v>172</v>
      </c>
      <c r="E635" t="str">
        <f t="shared" si="13"/>
        <v>김X민</v>
      </c>
    </row>
    <row r="636" spans="2:5">
      <c r="B636" s="224" t="s">
        <v>2973</v>
      </c>
      <c r="C636" t="s">
        <v>82</v>
      </c>
      <c r="E636" t="str">
        <f t="shared" si="13"/>
        <v>정X준</v>
      </c>
    </row>
    <row r="637" spans="2:5">
      <c r="B637" s="224" t="s">
        <v>2974</v>
      </c>
      <c r="C637" t="s">
        <v>171</v>
      </c>
      <c r="E637" t="str">
        <f t="shared" si="13"/>
        <v>이X식</v>
      </c>
    </row>
    <row r="638" spans="2:5">
      <c r="B638" s="224" t="s">
        <v>2975</v>
      </c>
      <c r="C638" t="s">
        <v>172</v>
      </c>
      <c r="E638" t="str">
        <f t="shared" si="13"/>
        <v>김X민</v>
      </c>
    </row>
    <row r="639" spans="2:5">
      <c r="B639" s="224" t="s">
        <v>2976</v>
      </c>
      <c r="C639" t="s">
        <v>82</v>
      </c>
      <c r="E639" t="str">
        <f t="shared" si="13"/>
        <v>정X준</v>
      </c>
    </row>
    <row r="640" spans="2:5">
      <c r="B640" s="224" t="s">
        <v>2977</v>
      </c>
      <c r="C640" t="s">
        <v>171</v>
      </c>
      <c r="E640" t="str">
        <f t="shared" si="13"/>
        <v>이X식</v>
      </c>
    </row>
    <row r="641" spans="2:5">
      <c r="B641" s="224" t="s">
        <v>2978</v>
      </c>
      <c r="C641" t="s">
        <v>172</v>
      </c>
      <c r="E641" t="str">
        <f t="shared" si="13"/>
        <v>김X민</v>
      </c>
    </row>
    <row r="642" spans="2:5">
      <c r="B642" s="224" t="s">
        <v>2979</v>
      </c>
      <c r="C642" t="s">
        <v>82</v>
      </c>
      <c r="E642" t="str">
        <f t="shared" si="13"/>
        <v>정X준</v>
      </c>
    </row>
    <row r="643" spans="2:5">
      <c r="B643" s="224" t="s">
        <v>2980</v>
      </c>
      <c r="C643" t="s">
        <v>171</v>
      </c>
      <c r="E643" t="str">
        <f t="shared" si="13"/>
        <v>이X식</v>
      </c>
    </row>
    <row r="644" spans="2:5">
      <c r="B644" s="224" t="s">
        <v>2981</v>
      </c>
      <c r="C644" t="s">
        <v>172</v>
      </c>
      <c r="E644" t="str">
        <f t="shared" ref="E644:E707" si="14">REPLACE(C644,2,1,"X")</f>
        <v>김X민</v>
      </c>
    </row>
    <row r="645" spans="2:5">
      <c r="B645" s="224" t="s">
        <v>2982</v>
      </c>
      <c r="C645" t="s">
        <v>82</v>
      </c>
      <c r="E645" t="str">
        <f t="shared" si="14"/>
        <v>정X준</v>
      </c>
    </row>
    <row r="646" spans="2:5">
      <c r="B646" s="224" t="s">
        <v>2983</v>
      </c>
      <c r="C646" t="s">
        <v>171</v>
      </c>
      <c r="E646" t="str">
        <f t="shared" si="14"/>
        <v>이X식</v>
      </c>
    </row>
    <row r="647" spans="2:5">
      <c r="B647" s="224" t="s">
        <v>2984</v>
      </c>
      <c r="C647" t="s">
        <v>172</v>
      </c>
      <c r="E647" t="str">
        <f t="shared" si="14"/>
        <v>김X민</v>
      </c>
    </row>
    <row r="648" spans="2:5">
      <c r="B648" s="224" t="s">
        <v>2985</v>
      </c>
      <c r="C648" t="s">
        <v>82</v>
      </c>
      <c r="E648" t="str">
        <f t="shared" si="14"/>
        <v>정X준</v>
      </c>
    </row>
    <row r="649" spans="2:5">
      <c r="B649" s="224" t="s">
        <v>2986</v>
      </c>
      <c r="C649" t="s">
        <v>171</v>
      </c>
      <c r="E649" t="str">
        <f t="shared" si="14"/>
        <v>이X식</v>
      </c>
    </row>
    <row r="650" spans="2:5">
      <c r="B650" s="224" t="s">
        <v>2987</v>
      </c>
      <c r="C650" t="s">
        <v>172</v>
      </c>
      <c r="E650" t="str">
        <f t="shared" si="14"/>
        <v>김X민</v>
      </c>
    </row>
    <row r="651" spans="2:5">
      <c r="B651" s="224" t="s">
        <v>2988</v>
      </c>
      <c r="C651" t="s">
        <v>82</v>
      </c>
      <c r="E651" t="str">
        <f t="shared" si="14"/>
        <v>정X준</v>
      </c>
    </row>
    <row r="652" spans="2:5">
      <c r="B652" s="224" t="s">
        <v>2989</v>
      </c>
      <c r="C652" t="s">
        <v>171</v>
      </c>
      <c r="E652" t="str">
        <f t="shared" si="14"/>
        <v>이X식</v>
      </c>
    </row>
    <row r="653" spans="2:5">
      <c r="B653" s="224" t="s">
        <v>2990</v>
      </c>
      <c r="C653" t="s">
        <v>172</v>
      </c>
      <c r="E653" t="str">
        <f t="shared" si="14"/>
        <v>김X민</v>
      </c>
    </row>
    <row r="654" spans="2:5">
      <c r="B654" s="224" t="s">
        <v>2991</v>
      </c>
      <c r="C654" t="s">
        <v>82</v>
      </c>
      <c r="E654" t="str">
        <f t="shared" si="14"/>
        <v>정X준</v>
      </c>
    </row>
    <row r="655" spans="2:5">
      <c r="B655" s="224" t="s">
        <v>2992</v>
      </c>
      <c r="C655" t="s">
        <v>171</v>
      </c>
      <c r="E655" t="str">
        <f t="shared" si="14"/>
        <v>이X식</v>
      </c>
    </row>
    <row r="656" spans="2:5">
      <c r="B656" s="224" t="s">
        <v>2993</v>
      </c>
      <c r="C656" t="s">
        <v>172</v>
      </c>
      <c r="E656" t="str">
        <f t="shared" si="14"/>
        <v>김X민</v>
      </c>
    </row>
    <row r="657" spans="2:5">
      <c r="B657" s="224" t="s">
        <v>2994</v>
      </c>
      <c r="C657" t="s">
        <v>82</v>
      </c>
      <c r="E657" t="str">
        <f t="shared" si="14"/>
        <v>정X준</v>
      </c>
    </row>
    <row r="658" spans="2:5">
      <c r="B658" s="224" t="s">
        <v>2995</v>
      </c>
      <c r="C658" t="s">
        <v>171</v>
      </c>
      <c r="E658" t="str">
        <f t="shared" si="14"/>
        <v>이X식</v>
      </c>
    </row>
    <row r="659" spans="2:5">
      <c r="B659" s="224" t="s">
        <v>2996</v>
      </c>
      <c r="C659" t="s">
        <v>172</v>
      </c>
      <c r="E659" t="str">
        <f t="shared" si="14"/>
        <v>김X민</v>
      </c>
    </row>
    <row r="660" spans="2:5">
      <c r="B660" s="224" t="s">
        <v>2997</v>
      </c>
      <c r="C660" t="s">
        <v>82</v>
      </c>
      <c r="E660" t="str">
        <f t="shared" si="14"/>
        <v>정X준</v>
      </c>
    </row>
    <row r="661" spans="2:5">
      <c r="B661" s="224" t="s">
        <v>2998</v>
      </c>
      <c r="C661" t="s">
        <v>171</v>
      </c>
      <c r="E661" t="str">
        <f t="shared" si="14"/>
        <v>이X식</v>
      </c>
    </row>
    <row r="662" spans="2:5">
      <c r="B662" s="224" t="s">
        <v>2999</v>
      </c>
      <c r="C662" t="s">
        <v>172</v>
      </c>
      <c r="E662" t="str">
        <f t="shared" si="14"/>
        <v>김X민</v>
      </c>
    </row>
    <row r="663" spans="2:5">
      <c r="B663" s="224" t="s">
        <v>3000</v>
      </c>
      <c r="C663" t="s">
        <v>82</v>
      </c>
      <c r="E663" t="str">
        <f t="shared" si="14"/>
        <v>정X준</v>
      </c>
    </row>
    <row r="664" spans="2:5">
      <c r="B664" s="224" t="s">
        <v>3001</v>
      </c>
      <c r="C664" t="s">
        <v>171</v>
      </c>
      <c r="E664" t="str">
        <f t="shared" si="14"/>
        <v>이X식</v>
      </c>
    </row>
    <row r="665" spans="2:5">
      <c r="B665" s="224" t="s">
        <v>3002</v>
      </c>
      <c r="C665" t="s">
        <v>172</v>
      </c>
      <c r="E665" t="str">
        <f t="shared" si="14"/>
        <v>김X민</v>
      </c>
    </row>
    <row r="666" spans="2:5">
      <c r="B666" s="224" t="s">
        <v>3003</v>
      </c>
      <c r="C666" t="s">
        <v>82</v>
      </c>
      <c r="E666" t="str">
        <f t="shared" si="14"/>
        <v>정X준</v>
      </c>
    </row>
    <row r="667" spans="2:5">
      <c r="B667" s="224" t="s">
        <v>3004</v>
      </c>
      <c r="C667" t="s">
        <v>171</v>
      </c>
      <c r="E667" t="str">
        <f t="shared" si="14"/>
        <v>이X식</v>
      </c>
    </row>
    <row r="668" spans="2:5">
      <c r="B668" s="224" t="s">
        <v>3005</v>
      </c>
      <c r="C668" t="s">
        <v>172</v>
      </c>
      <c r="E668" t="str">
        <f t="shared" si="14"/>
        <v>김X민</v>
      </c>
    </row>
    <row r="669" spans="2:5">
      <c r="B669" s="224" t="s">
        <v>3006</v>
      </c>
      <c r="C669" t="s">
        <v>82</v>
      </c>
      <c r="E669" t="str">
        <f t="shared" si="14"/>
        <v>정X준</v>
      </c>
    </row>
    <row r="670" spans="2:5">
      <c r="B670" s="224" t="s">
        <v>3007</v>
      </c>
      <c r="C670" t="s">
        <v>171</v>
      </c>
      <c r="E670" t="str">
        <f t="shared" si="14"/>
        <v>이X식</v>
      </c>
    </row>
    <row r="671" spans="2:5">
      <c r="B671" s="224" t="s">
        <v>3008</v>
      </c>
      <c r="C671" t="s">
        <v>172</v>
      </c>
      <c r="E671" t="str">
        <f t="shared" si="14"/>
        <v>김X민</v>
      </c>
    </row>
    <row r="672" spans="2:5">
      <c r="B672" s="224" t="s">
        <v>3009</v>
      </c>
      <c r="C672" t="s">
        <v>82</v>
      </c>
      <c r="E672" t="str">
        <f t="shared" si="14"/>
        <v>정X준</v>
      </c>
    </row>
    <row r="673" spans="2:5">
      <c r="B673" s="224" t="s">
        <v>3010</v>
      </c>
      <c r="C673" t="s">
        <v>171</v>
      </c>
      <c r="E673" t="str">
        <f t="shared" si="14"/>
        <v>이X식</v>
      </c>
    </row>
    <row r="674" spans="2:5">
      <c r="B674" s="224" t="s">
        <v>3011</v>
      </c>
      <c r="C674" t="s">
        <v>172</v>
      </c>
      <c r="E674" t="str">
        <f t="shared" si="14"/>
        <v>김X민</v>
      </c>
    </row>
    <row r="675" spans="2:5">
      <c r="B675" s="224" t="s">
        <v>3012</v>
      </c>
      <c r="C675" t="s">
        <v>82</v>
      </c>
      <c r="E675" t="str">
        <f t="shared" si="14"/>
        <v>정X준</v>
      </c>
    </row>
    <row r="676" spans="2:5">
      <c r="B676" s="224" t="s">
        <v>3013</v>
      </c>
      <c r="C676" t="s">
        <v>171</v>
      </c>
      <c r="E676" t="str">
        <f t="shared" si="14"/>
        <v>이X식</v>
      </c>
    </row>
    <row r="677" spans="2:5">
      <c r="B677" s="224" t="s">
        <v>3014</v>
      </c>
      <c r="C677" t="s">
        <v>172</v>
      </c>
      <c r="E677" t="str">
        <f t="shared" si="14"/>
        <v>김X민</v>
      </c>
    </row>
    <row r="678" spans="2:5">
      <c r="B678" s="224" t="s">
        <v>3015</v>
      </c>
      <c r="C678" t="s">
        <v>82</v>
      </c>
      <c r="E678" t="str">
        <f t="shared" si="14"/>
        <v>정X준</v>
      </c>
    </row>
    <row r="679" spans="2:5">
      <c r="B679" s="224" t="s">
        <v>3016</v>
      </c>
      <c r="C679" t="s">
        <v>171</v>
      </c>
      <c r="E679" t="str">
        <f t="shared" si="14"/>
        <v>이X식</v>
      </c>
    </row>
    <row r="680" spans="2:5">
      <c r="B680" s="224" t="s">
        <v>3017</v>
      </c>
      <c r="C680" t="s">
        <v>172</v>
      </c>
      <c r="E680" t="str">
        <f t="shared" si="14"/>
        <v>김X민</v>
      </c>
    </row>
    <row r="681" spans="2:5">
      <c r="B681" s="224" t="s">
        <v>3018</v>
      </c>
      <c r="C681" t="s">
        <v>82</v>
      </c>
      <c r="E681" t="str">
        <f t="shared" si="14"/>
        <v>정X준</v>
      </c>
    </row>
    <row r="682" spans="2:5">
      <c r="B682" s="224" t="s">
        <v>3019</v>
      </c>
      <c r="C682" t="s">
        <v>171</v>
      </c>
      <c r="E682" t="str">
        <f t="shared" si="14"/>
        <v>이X식</v>
      </c>
    </row>
    <row r="683" spans="2:5">
      <c r="B683" s="224" t="s">
        <v>3020</v>
      </c>
      <c r="C683" t="s">
        <v>172</v>
      </c>
      <c r="E683" t="str">
        <f t="shared" si="14"/>
        <v>김X민</v>
      </c>
    </row>
    <row r="684" spans="2:5">
      <c r="B684" s="224" t="s">
        <v>3021</v>
      </c>
      <c r="C684" t="s">
        <v>82</v>
      </c>
      <c r="E684" t="str">
        <f t="shared" si="14"/>
        <v>정X준</v>
      </c>
    </row>
    <row r="685" spans="2:5">
      <c r="B685" s="224" t="s">
        <v>3022</v>
      </c>
      <c r="C685" t="s">
        <v>171</v>
      </c>
      <c r="E685" t="str">
        <f t="shared" si="14"/>
        <v>이X식</v>
      </c>
    </row>
    <row r="686" spans="2:5">
      <c r="B686" s="224" t="s">
        <v>3023</v>
      </c>
      <c r="C686" t="s">
        <v>172</v>
      </c>
      <c r="E686" t="str">
        <f t="shared" si="14"/>
        <v>김X민</v>
      </c>
    </row>
    <row r="687" spans="2:5">
      <c r="B687" s="224" t="s">
        <v>3024</v>
      </c>
      <c r="C687" t="s">
        <v>82</v>
      </c>
      <c r="E687" t="str">
        <f t="shared" si="14"/>
        <v>정X준</v>
      </c>
    </row>
    <row r="688" spans="2:5">
      <c r="B688" s="224" t="s">
        <v>3025</v>
      </c>
      <c r="C688" t="s">
        <v>171</v>
      </c>
      <c r="E688" t="str">
        <f t="shared" si="14"/>
        <v>이X식</v>
      </c>
    </row>
    <row r="689" spans="2:5">
      <c r="B689" s="224" t="s">
        <v>3026</v>
      </c>
      <c r="C689" t="s">
        <v>172</v>
      </c>
      <c r="E689" t="str">
        <f t="shared" si="14"/>
        <v>김X민</v>
      </c>
    </row>
    <row r="690" spans="2:5">
      <c r="B690" s="224" t="s">
        <v>3027</v>
      </c>
      <c r="C690" t="s">
        <v>82</v>
      </c>
      <c r="E690" t="str">
        <f t="shared" si="14"/>
        <v>정X준</v>
      </c>
    </row>
    <row r="691" spans="2:5">
      <c r="B691" s="224" t="s">
        <v>3028</v>
      </c>
      <c r="C691" t="s">
        <v>171</v>
      </c>
      <c r="E691" t="str">
        <f t="shared" si="14"/>
        <v>이X식</v>
      </c>
    </row>
    <row r="692" spans="2:5">
      <c r="B692" s="224" t="s">
        <v>3029</v>
      </c>
      <c r="C692" t="s">
        <v>172</v>
      </c>
      <c r="E692" t="str">
        <f t="shared" si="14"/>
        <v>김X민</v>
      </c>
    </row>
    <row r="693" spans="2:5">
      <c r="B693" s="224" t="s">
        <v>3030</v>
      </c>
      <c r="C693" t="s">
        <v>82</v>
      </c>
      <c r="E693" t="str">
        <f t="shared" si="14"/>
        <v>정X준</v>
      </c>
    </row>
    <row r="694" spans="2:5">
      <c r="B694" s="224" t="s">
        <v>3031</v>
      </c>
      <c r="C694" t="s">
        <v>171</v>
      </c>
      <c r="E694" t="str">
        <f t="shared" si="14"/>
        <v>이X식</v>
      </c>
    </row>
    <row r="695" spans="2:5">
      <c r="B695" s="224" t="s">
        <v>3032</v>
      </c>
      <c r="C695" t="s">
        <v>172</v>
      </c>
      <c r="E695" t="str">
        <f t="shared" si="14"/>
        <v>김X민</v>
      </c>
    </row>
    <row r="696" spans="2:5">
      <c r="B696" s="224" t="s">
        <v>3033</v>
      </c>
      <c r="C696" t="s">
        <v>82</v>
      </c>
      <c r="E696" t="str">
        <f t="shared" si="14"/>
        <v>정X준</v>
      </c>
    </row>
    <row r="697" spans="2:5">
      <c r="B697" s="224" t="s">
        <v>3034</v>
      </c>
      <c r="C697" t="s">
        <v>171</v>
      </c>
      <c r="E697" t="str">
        <f t="shared" si="14"/>
        <v>이X식</v>
      </c>
    </row>
    <row r="698" spans="2:5">
      <c r="B698" s="224" t="s">
        <v>3035</v>
      </c>
      <c r="C698" t="s">
        <v>172</v>
      </c>
      <c r="E698" t="str">
        <f t="shared" si="14"/>
        <v>김X민</v>
      </c>
    </row>
    <row r="699" spans="2:5">
      <c r="B699" s="224" t="s">
        <v>3036</v>
      </c>
      <c r="C699" t="s">
        <v>82</v>
      </c>
      <c r="E699" t="str">
        <f t="shared" si="14"/>
        <v>정X준</v>
      </c>
    </row>
    <row r="700" spans="2:5">
      <c r="B700" s="224" t="s">
        <v>3037</v>
      </c>
      <c r="C700" t="s">
        <v>171</v>
      </c>
      <c r="E700" t="str">
        <f t="shared" si="14"/>
        <v>이X식</v>
      </c>
    </row>
    <row r="701" spans="2:5">
      <c r="B701" s="224" t="s">
        <v>3038</v>
      </c>
      <c r="C701" t="s">
        <v>172</v>
      </c>
      <c r="E701" t="str">
        <f t="shared" si="14"/>
        <v>김X민</v>
      </c>
    </row>
    <row r="702" spans="2:5">
      <c r="B702" s="224" t="s">
        <v>3039</v>
      </c>
      <c r="C702" t="s">
        <v>82</v>
      </c>
      <c r="E702" t="str">
        <f t="shared" si="14"/>
        <v>정X준</v>
      </c>
    </row>
    <row r="703" spans="2:5">
      <c r="B703" s="224" t="s">
        <v>3040</v>
      </c>
      <c r="C703" t="s">
        <v>171</v>
      </c>
      <c r="E703" t="str">
        <f t="shared" si="14"/>
        <v>이X식</v>
      </c>
    </row>
    <row r="704" spans="2:5">
      <c r="B704" s="224" t="s">
        <v>3041</v>
      </c>
      <c r="C704" t="s">
        <v>172</v>
      </c>
      <c r="E704" t="str">
        <f t="shared" si="14"/>
        <v>김X민</v>
      </c>
    </row>
    <row r="705" spans="2:5">
      <c r="B705" s="224" t="s">
        <v>3042</v>
      </c>
      <c r="C705" t="s">
        <v>82</v>
      </c>
      <c r="E705" t="str">
        <f t="shared" si="14"/>
        <v>정X준</v>
      </c>
    </row>
    <row r="706" spans="2:5">
      <c r="B706" s="224" t="s">
        <v>3043</v>
      </c>
      <c r="C706" t="s">
        <v>171</v>
      </c>
      <c r="E706" t="str">
        <f t="shared" si="14"/>
        <v>이X식</v>
      </c>
    </row>
    <row r="707" spans="2:5">
      <c r="B707" s="224" t="s">
        <v>3044</v>
      </c>
      <c r="C707" t="s">
        <v>172</v>
      </c>
      <c r="E707" t="str">
        <f t="shared" si="14"/>
        <v>김X민</v>
      </c>
    </row>
    <row r="708" spans="2:5">
      <c r="B708" s="224" t="s">
        <v>3045</v>
      </c>
      <c r="C708" t="s">
        <v>82</v>
      </c>
      <c r="E708" t="str">
        <f t="shared" ref="E708:E771" si="15">REPLACE(C708,2,1,"X")</f>
        <v>정X준</v>
      </c>
    </row>
    <row r="709" spans="2:5">
      <c r="B709" s="224" t="s">
        <v>3046</v>
      </c>
      <c r="C709" t="s">
        <v>171</v>
      </c>
      <c r="E709" t="str">
        <f t="shared" si="15"/>
        <v>이X식</v>
      </c>
    </row>
    <row r="710" spans="2:5">
      <c r="B710" s="224" t="s">
        <v>3047</v>
      </c>
      <c r="C710" t="s">
        <v>172</v>
      </c>
      <c r="E710" t="str">
        <f t="shared" si="15"/>
        <v>김X민</v>
      </c>
    </row>
    <row r="711" spans="2:5">
      <c r="B711" s="224" t="s">
        <v>3048</v>
      </c>
      <c r="C711" t="s">
        <v>82</v>
      </c>
      <c r="E711" t="str">
        <f t="shared" si="15"/>
        <v>정X준</v>
      </c>
    </row>
    <row r="712" spans="2:5">
      <c r="B712" s="224" t="s">
        <v>3049</v>
      </c>
      <c r="C712" t="s">
        <v>171</v>
      </c>
      <c r="E712" t="str">
        <f t="shared" si="15"/>
        <v>이X식</v>
      </c>
    </row>
    <row r="713" spans="2:5">
      <c r="B713" s="224" t="s">
        <v>3050</v>
      </c>
      <c r="C713" t="s">
        <v>172</v>
      </c>
      <c r="E713" t="str">
        <f t="shared" si="15"/>
        <v>김X민</v>
      </c>
    </row>
    <row r="714" spans="2:5">
      <c r="B714" s="224" t="s">
        <v>3051</v>
      </c>
      <c r="C714" t="s">
        <v>82</v>
      </c>
      <c r="E714" t="str">
        <f t="shared" si="15"/>
        <v>정X준</v>
      </c>
    </row>
    <row r="715" spans="2:5">
      <c r="B715" s="224" t="s">
        <v>3052</v>
      </c>
      <c r="C715" t="s">
        <v>171</v>
      </c>
      <c r="E715" t="str">
        <f t="shared" si="15"/>
        <v>이X식</v>
      </c>
    </row>
    <row r="716" spans="2:5">
      <c r="B716" s="224" t="s">
        <v>3053</v>
      </c>
      <c r="C716" t="s">
        <v>172</v>
      </c>
      <c r="E716" t="str">
        <f t="shared" si="15"/>
        <v>김X민</v>
      </c>
    </row>
    <row r="717" spans="2:5">
      <c r="B717" s="224" t="s">
        <v>3054</v>
      </c>
      <c r="C717" t="s">
        <v>82</v>
      </c>
      <c r="E717" t="str">
        <f t="shared" si="15"/>
        <v>정X준</v>
      </c>
    </row>
    <row r="718" spans="2:5">
      <c r="B718" s="224" t="s">
        <v>3055</v>
      </c>
      <c r="C718" t="s">
        <v>171</v>
      </c>
      <c r="E718" t="str">
        <f t="shared" si="15"/>
        <v>이X식</v>
      </c>
    </row>
    <row r="719" spans="2:5">
      <c r="B719" s="224" t="s">
        <v>3056</v>
      </c>
      <c r="C719" t="s">
        <v>172</v>
      </c>
      <c r="E719" t="str">
        <f t="shared" si="15"/>
        <v>김X민</v>
      </c>
    </row>
    <row r="720" spans="2:5">
      <c r="B720" s="224" t="s">
        <v>3057</v>
      </c>
      <c r="C720" t="s">
        <v>82</v>
      </c>
      <c r="E720" t="str">
        <f t="shared" si="15"/>
        <v>정X준</v>
      </c>
    </row>
    <row r="721" spans="2:5">
      <c r="B721" s="224" t="s">
        <v>3058</v>
      </c>
      <c r="C721" t="s">
        <v>171</v>
      </c>
      <c r="E721" t="str">
        <f t="shared" si="15"/>
        <v>이X식</v>
      </c>
    </row>
    <row r="722" spans="2:5">
      <c r="B722" s="224" t="s">
        <v>3059</v>
      </c>
      <c r="C722" t="s">
        <v>172</v>
      </c>
      <c r="E722" t="str">
        <f t="shared" si="15"/>
        <v>김X민</v>
      </c>
    </row>
    <row r="723" spans="2:5">
      <c r="B723" s="224" t="s">
        <v>3060</v>
      </c>
      <c r="C723" t="s">
        <v>82</v>
      </c>
      <c r="E723" t="str">
        <f t="shared" si="15"/>
        <v>정X준</v>
      </c>
    </row>
    <row r="724" spans="2:5">
      <c r="B724" s="224" t="s">
        <v>3061</v>
      </c>
      <c r="C724" t="s">
        <v>171</v>
      </c>
      <c r="E724" t="str">
        <f t="shared" si="15"/>
        <v>이X식</v>
      </c>
    </row>
    <row r="725" spans="2:5">
      <c r="B725" s="224" t="s">
        <v>3062</v>
      </c>
      <c r="C725" t="s">
        <v>172</v>
      </c>
      <c r="E725" t="str">
        <f t="shared" si="15"/>
        <v>김X민</v>
      </c>
    </row>
    <row r="726" spans="2:5">
      <c r="B726" s="224" t="s">
        <v>3063</v>
      </c>
      <c r="C726" t="s">
        <v>82</v>
      </c>
      <c r="E726" t="str">
        <f t="shared" si="15"/>
        <v>정X준</v>
      </c>
    </row>
    <row r="727" spans="2:5">
      <c r="B727" s="224" t="s">
        <v>3064</v>
      </c>
      <c r="C727" t="s">
        <v>171</v>
      </c>
      <c r="E727" t="str">
        <f t="shared" si="15"/>
        <v>이X식</v>
      </c>
    </row>
    <row r="728" spans="2:5">
      <c r="B728" s="224" t="s">
        <v>3065</v>
      </c>
      <c r="C728" t="s">
        <v>172</v>
      </c>
      <c r="E728" t="str">
        <f t="shared" si="15"/>
        <v>김X민</v>
      </c>
    </row>
    <row r="729" spans="2:5">
      <c r="B729" s="224" t="s">
        <v>3066</v>
      </c>
      <c r="C729" t="s">
        <v>82</v>
      </c>
      <c r="E729" t="str">
        <f t="shared" si="15"/>
        <v>정X준</v>
      </c>
    </row>
    <row r="730" spans="2:5">
      <c r="B730" s="224" t="s">
        <v>3067</v>
      </c>
      <c r="C730" t="s">
        <v>171</v>
      </c>
      <c r="E730" t="str">
        <f t="shared" si="15"/>
        <v>이X식</v>
      </c>
    </row>
    <row r="731" spans="2:5">
      <c r="B731" s="224" t="s">
        <v>3068</v>
      </c>
      <c r="C731" t="s">
        <v>172</v>
      </c>
      <c r="E731" t="str">
        <f t="shared" si="15"/>
        <v>김X민</v>
      </c>
    </row>
    <row r="732" spans="2:5">
      <c r="B732" s="224" t="s">
        <v>3069</v>
      </c>
      <c r="C732" t="s">
        <v>82</v>
      </c>
      <c r="E732" t="str">
        <f t="shared" si="15"/>
        <v>정X준</v>
      </c>
    </row>
    <row r="733" spans="2:5">
      <c r="B733" s="224" t="s">
        <v>3070</v>
      </c>
      <c r="C733" t="s">
        <v>171</v>
      </c>
      <c r="E733" t="str">
        <f t="shared" si="15"/>
        <v>이X식</v>
      </c>
    </row>
    <row r="734" spans="2:5">
      <c r="B734" s="224" t="s">
        <v>3071</v>
      </c>
      <c r="C734" t="s">
        <v>172</v>
      </c>
      <c r="E734" t="str">
        <f t="shared" si="15"/>
        <v>김X민</v>
      </c>
    </row>
    <row r="735" spans="2:5">
      <c r="B735" s="224" t="s">
        <v>3072</v>
      </c>
      <c r="C735" t="s">
        <v>82</v>
      </c>
      <c r="E735" t="str">
        <f t="shared" si="15"/>
        <v>정X준</v>
      </c>
    </row>
    <row r="736" spans="2:5">
      <c r="B736" s="224" t="s">
        <v>3073</v>
      </c>
      <c r="C736" t="s">
        <v>171</v>
      </c>
      <c r="E736" t="str">
        <f t="shared" si="15"/>
        <v>이X식</v>
      </c>
    </row>
    <row r="737" spans="2:5">
      <c r="B737" s="224" t="s">
        <v>3074</v>
      </c>
      <c r="C737" t="s">
        <v>172</v>
      </c>
      <c r="E737" t="str">
        <f t="shared" si="15"/>
        <v>김X민</v>
      </c>
    </row>
    <row r="738" spans="2:5">
      <c r="B738" s="224" t="s">
        <v>3075</v>
      </c>
      <c r="C738" t="s">
        <v>82</v>
      </c>
      <c r="E738" t="str">
        <f t="shared" si="15"/>
        <v>정X준</v>
      </c>
    </row>
    <row r="739" spans="2:5">
      <c r="B739" s="224" t="s">
        <v>3076</v>
      </c>
      <c r="C739" t="s">
        <v>171</v>
      </c>
      <c r="E739" t="str">
        <f t="shared" si="15"/>
        <v>이X식</v>
      </c>
    </row>
    <row r="740" spans="2:5">
      <c r="B740" s="224" t="s">
        <v>3077</v>
      </c>
      <c r="C740" t="s">
        <v>172</v>
      </c>
      <c r="E740" t="str">
        <f t="shared" si="15"/>
        <v>김X민</v>
      </c>
    </row>
    <row r="741" spans="2:5">
      <c r="B741" s="224" t="s">
        <v>3078</v>
      </c>
      <c r="C741" t="s">
        <v>82</v>
      </c>
      <c r="E741" t="str">
        <f t="shared" si="15"/>
        <v>정X준</v>
      </c>
    </row>
    <row r="742" spans="2:5">
      <c r="B742" s="224" t="s">
        <v>3079</v>
      </c>
      <c r="C742" t="s">
        <v>171</v>
      </c>
      <c r="E742" t="str">
        <f t="shared" si="15"/>
        <v>이X식</v>
      </c>
    </row>
    <row r="743" spans="2:5">
      <c r="B743" s="224" t="s">
        <v>3080</v>
      </c>
      <c r="C743" t="s">
        <v>172</v>
      </c>
      <c r="E743" t="str">
        <f t="shared" si="15"/>
        <v>김X민</v>
      </c>
    </row>
    <row r="744" spans="2:5">
      <c r="B744" s="224" t="s">
        <v>3081</v>
      </c>
      <c r="C744" t="s">
        <v>82</v>
      </c>
      <c r="E744" t="str">
        <f t="shared" si="15"/>
        <v>정X준</v>
      </c>
    </row>
    <row r="745" spans="2:5">
      <c r="B745" s="224" t="s">
        <v>3082</v>
      </c>
      <c r="C745" t="s">
        <v>171</v>
      </c>
      <c r="E745" t="str">
        <f t="shared" si="15"/>
        <v>이X식</v>
      </c>
    </row>
    <row r="746" spans="2:5">
      <c r="B746" s="224" t="s">
        <v>3083</v>
      </c>
      <c r="C746" t="s">
        <v>172</v>
      </c>
      <c r="E746" t="str">
        <f t="shared" si="15"/>
        <v>김X민</v>
      </c>
    </row>
    <row r="747" spans="2:5">
      <c r="B747" s="224" t="s">
        <v>3084</v>
      </c>
      <c r="C747" t="s">
        <v>82</v>
      </c>
      <c r="E747" t="str">
        <f t="shared" si="15"/>
        <v>정X준</v>
      </c>
    </row>
    <row r="748" spans="2:5">
      <c r="B748" s="224" t="s">
        <v>3085</v>
      </c>
      <c r="C748" t="s">
        <v>171</v>
      </c>
      <c r="E748" t="str">
        <f t="shared" si="15"/>
        <v>이X식</v>
      </c>
    </row>
    <row r="749" spans="2:5">
      <c r="B749" s="224" t="s">
        <v>3086</v>
      </c>
      <c r="C749" t="s">
        <v>172</v>
      </c>
      <c r="E749" t="str">
        <f t="shared" si="15"/>
        <v>김X민</v>
      </c>
    </row>
    <row r="750" spans="2:5">
      <c r="B750" s="224" t="s">
        <v>3087</v>
      </c>
      <c r="C750" t="s">
        <v>82</v>
      </c>
      <c r="E750" t="str">
        <f t="shared" si="15"/>
        <v>정X준</v>
      </c>
    </row>
    <row r="751" spans="2:5">
      <c r="B751" s="224" t="s">
        <v>3088</v>
      </c>
      <c r="C751" t="s">
        <v>171</v>
      </c>
      <c r="E751" t="str">
        <f t="shared" si="15"/>
        <v>이X식</v>
      </c>
    </row>
    <row r="752" spans="2:5">
      <c r="B752" s="224" t="s">
        <v>3089</v>
      </c>
      <c r="C752" t="s">
        <v>172</v>
      </c>
      <c r="E752" t="str">
        <f t="shared" si="15"/>
        <v>김X민</v>
      </c>
    </row>
    <row r="753" spans="2:5">
      <c r="B753" s="224" t="s">
        <v>3090</v>
      </c>
      <c r="C753" t="s">
        <v>82</v>
      </c>
      <c r="E753" t="str">
        <f t="shared" si="15"/>
        <v>정X준</v>
      </c>
    </row>
    <row r="754" spans="2:5">
      <c r="B754" s="224" t="s">
        <v>3091</v>
      </c>
      <c r="C754" t="s">
        <v>171</v>
      </c>
      <c r="E754" t="str">
        <f t="shared" si="15"/>
        <v>이X식</v>
      </c>
    </row>
    <row r="755" spans="2:5">
      <c r="B755" s="224" t="s">
        <v>3092</v>
      </c>
      <c r="C755" t="s">
        <v>172</v>
      </c>
      <c r="E755" t="str">
        <f t="shared" si="15"/>
        <v>김X민</v>
      </c>
    </row>
    <row r="756" spans="2:5">
      <c r="B756" s="224" t="s">
        <v>3093</v>
      </c>
      <c r="C756" t="s">
        <v>82</v>
      </c>
      <c r="E756" t="str">
        <f t="shared" si="15"/>
        <v>정X준</v>
      </c>
    </row>
    <row r="757" spans="2:5">
      <c r="B757" s="224" t="s">
        <v>3094</v>
      </c>
      <c r="C757" t="s">
        <v>171</v>
      </c>
      <c r="E757" t="str">
        <f t="shared" si="15"/>
        <v>이X식</v>
      </c>
    </row>
    <row r="758" spans="2:5">
      <c r="B758" s="224" t="s">
        <v>3095</v>
      </c>
      <c r="C758" t="s">
        <v>172</v>
      </c>
      <c r="E758" t="str">
        <f t="shared" si="15"/>
        <v>김X민</v>
      </c>
    </row>
    <row r="759" spans="2:5">
      <c r="B759" s="224" t="s">
        <v>3096</v>
      </c>
      <c r="C759" t="s">
        <v>82</v>
      </c>
      <c r="E759" t="str">
        <f t="shared" si="15"/>
        <v>정X준</v>
      </c>
    </row>
    <row r="760" spans="2:5">
      <c r="B760" s="224" t="s">
        <v>3097</v>
      </c>
      <c r="C760" t="s">
        <v>171</v>
      </c>
      <c r="E760" t="str">
        <f t="shared" si="15"/>
        <v>이X식</v>
      </c>
    </row>
    <row r="761" spans="2:5">
      <c r="B761" s="224" t="s">
        <v>3098</v>
      </c>
      <c r="C761" t="s">
        <v>172</v>
      </c>
      <c r="E761" t="str">
        <f t="shared" si="15"/>
        <v>김X민</v>
      </c>
    </row>
    <row r="762" spans="2:5">
      <c r="B762" s="224" t="s">
        <v>3099</v>
      </c>
      <c r="C762" t="s">
        <v>82</v>
      </c>
      <c r="E762" t="str">
        <f t="shared" si="15"/>
        <v>정X준</v>
      </c>
    </row>
    <row r="763" spans="2:5">
      <c r="B763" s="224" t="s">
        <v>3100</v>
      </c>
      <c r="C763" t="s">
        <v>171</v>
      </c>
      <c r="E763" t="str">
        <f t="shared" si="15"/>
        <v>이X식</v>
      </c>
    </row>
    <row r="764" spans="2:5">
      <c r="B764" s="224" t="s">
        <v>3101</v>
      </c>
      <c r="C764" t="s">
        <v>172</v>
      </c>
      <c r="E764" t="str">
        <f t="shared" si="15"/>
        <v>김X민</v>
      </c>
    </row>
    <row r="765" spans="2:5">
      <c r="B765" s="224" t="s">
        <v>3102</v>
      </c>
      <c r="C765" t="s">
        <v>82</v>
      </c>
      <c r="E765" t="str">
        <f t="shared" si="15"/>
        <v>정X준</v>
      </c>
    </row>
    <row r="766" spans="2:5">
      <c r="B766" s="224" t="s">
        <v>3103</v>
      </c>
      <c r="C766" t="s">
        <v>171</v>
      </c>
      <c r="E766" t="str">
        <f t="shared" si="15"/>
        <v>이X식</v>
      </c>
    </row>
    <row r="767" spans="2:5">
      <c r="B767" s="224" t="s">
        <v>3104</v>
      </c>
      <c r="C767" t="s">
        <v>172</v>
      </c>
      <c r="E767" t="str">
        <f t="shared" si="15"/>
        <v>김X민</v>
      </c>
    </row>
    <row r="768" spans="2:5">
      <c r="B768" s="224" t="s">
        <v>3105</v>
      </c>
      <c r="C768" t="s">
        <v>82</v>
      </c>
      <c r="E768" t="str">
        <f t="shared" si="15"/>
        <v>정X준</v>
      </c>
    </row>
    <row r="769" spans="2:5">
      <c r="B769" s="224" t="s">
        <v>3106</v>
      </c>
      <c r="C769" t="s">
        <v>171</v>
      </c>
      <c r="E769" t="str">
        <f t="shared" si="15"/>
        <v>이X식</v>
      </c>
    </row>
    <row r="770" spans="2:5">
      <c r="B770" s="224" t="s">
        <v>3107</v>
      </c>
      <c r="C770" t="s">
        <v>172</v>
      </c>
      <c r="E770" t="str">
        <f t="shared" si="15"/>
        <v>김X민</v>
      </c>
    </row>
    <row r="771" spans="2:5">
      <c r="B771" s="224" t="s">
        <v>3108</v>
      </c>
      <c r="C771" t="s">
        <v>82</v>
      </c>
      <c r="E771" t="str">
        <f t="shared" si="15"/>
        <v>정X준</v>
      </c>
    </row>
    <row r="772" spans="2:5">
      <c r="B772" s="224" t="s">
        <v>3109</v>
      </c>
      <c r="C772" t="s">
        <v>171</v>
      </c>
      <c r="E772" t="str">
        <f t="shared" ref="E772:E835" si="16">REPLACE(C772,2,1,"X")</f>
        <v>이X식</v>
      </c>
    </row>
    <row r="773" spans="2:5">
      <c r="B773" s="224" t="s">
        <v>3110</v>
      </c>
      <c r="C773" t="s">
        <v>172</v>
      </c>
      <c r="E773" t="str">
        <f t="shared" si="16"/>
        <v>김X민</v>
      </c>
    </row>
    <row r="774" spans="2:5">
      <c r="B774" s="224" t="s">
        <v>3111</v>
      </c>
      <c r="C774" t="s">
        <v>82</v>
      </c>
      <c r="E774" t="str">
        <f t="shared" si="16"/>
        <v>정X준</v>
      </c>
    </row>
    <row r="775" spans="2:5">
      <c r="B775" s="224" t="s">
        <v>3112</v>
      </c>
      <c r="C775" t="s">
        <v>171</v>
      </c>
      <c r="E775" t="str">
        <f t="shared" si="16"/>
        <v>이X식</v>
      </c>
    </row>
    <row r="776" spans="2:5">
      <c r="B776" s="224" t="s">
        <v>3113</v>
      </c>
      <c r="C776" t="s">
        <v>172</v>
      </c>
      <c r="E776" t="str">
        <f t="shared" si="16"/>
        <v>김X민</v>
      </c>
    </row>
    <row r="777" spans="2:5">
      <c r="B777" s="224" t="s">
        <v>3114</v>
      </c>
      <c r="C777" t="s">
        <v>82</v>
      </c>
      <c r="E777" t="str">
        <f t="shared" si="16"/>
        <v>정X준</v>
      </c>
    </row>
    <row r="778" spans="2:5">
      <c r="B778" s="224" t="s">
        <v>3115</v>
      </c>
      <c r="C778" t="s">
        <v>171</v>
      </c>
      <c r="E778" t="str">
        <f t="shared" si="16"/>
        <v>이X식</v>
      </c>
    </row>
    <row r="779" spans="2:5">
      <c r="B779" s="224" t="s">
        <v>3116</v>
      </c>
      <c r="C779" t="s">
        <v>172</v>
      </c>
      <c r="E779" t="str">
        <f t="shared" si="16"/>
        <v>김X민</v>
      </c>
    </row>
    <row r="780" spans="2:5">
      <c r="B780" s="224" t="s">
        <v>3117</v>
      </c>
      <c r="C780" t="s">
        <v>82</v>
      </c>
      <c r="E780" t="str">
        <f t="shared" si="16"/>
        <v>정X준</v>
      </c>
    </row>
    <row r="781" spans="2:5">
      <c r="B781" s="224" t="s">
        <v>3118</v>
      </c>
      <c r="C781" t="s">
        <v>171</v>
      </c>
      <c r="E781" t="str">
        <f t="shared" si="16"/>
        <v>이X식</v>
      </c>
    </row>
    <row r="782" spans="2:5">
      <c r="B782" s="224" t="s">
        <v>3119</v>
      </c>
      <c r="C782" t="s">
        <v>172</v>
      </c>
      <c r="E782" t="str">
        <f t="shared" si="16"/>
        <v>김X민</v>
      </c>
    </row>
    <row r="783" spans="2:5">
      <c r="B783" s="224" t="s">
        <v>3120</v>
      </c>
      <c r="C783" t="s">
        <v>82</v>
      </c>
      <c r="E783" t="str">
        <f t="shared" si="16"/>
        <v>정X준</v>
      </c>
    </row>
    <row r="784" spans="2:5">
      <c r="B784" s="224" t="s">
        <v>3121</v>
      </c>
      <c r="C784" t="s">
        <v>171</v>
      </c>
      <c r="E784" t="str">
        <f t="shared" si="16"/>
        <v>이X식</v>
      </c>
    </row>
    <row r="785" spans="2:5">
      <c r="B785" s="224" t="s">
        <v>3122</v>
      </c>
      <c r="C785" t="s">
        <v>172</v>
      </c>
      <c r="E785" t="str">
        <f t="shared" si="16"/>
        <v>김X민</v>
      </c>
    </row>
    <row r="786" spans="2:5">
      <c r="B786" s="224" t="s">
        <v>3123</v>
      </c>
      <c r="C786" t="s">
        <v>82</v>
      </c>
      <c r="E786" t="str">
        <f t="shared" si="16"/>
        <v>정X준</v>
      </c>
    </row>
    <row r="787" spans="2:5">
      <c r="B787" s="224" t="s">
        <v>3124</v>
      </c>
      <c r="C787" t="s">
        <v>171</v>
      </c>
      <c r="E787" t="str">
        <f t="shared" si="16"/>
        <v>이X식</v>
      </c>
    </row>
    <row r="788" spans="2:5">
      <c r="B788" s="224" t="s">
        <v>3125</v>
      </c>
      <c r="C788" t="s">
        <v>172</v>
      </c>
      <c r="E788" t="str">
        <f t="shared" si="16"/>
        <v>김X민</v>
      </c>
    </row>
    <row r="789" spans="2:5">
      <c r="B789" s="224" t="s">
        <v>3126</v>
      </c>
      <c r="C789" t="s">
        <v>82</v>
      </c>
      <c r="E789" t="str">
        <f t="shared" si="16"/>
        <v>정X준</v>
      </c>
    </row>
    <row r="790" spans="2:5">
      <c r="B790" s="224" t="s">
        <v>3127</v>
      </c>
      <c r="C790" t="s">
        <v>171</v>
      </c>
      <c r="E790" t="str">
        <f t="shared" si="16"/>
        <v>이X식</v>
      </c>
    </row>
    <row r="791" spans="2:5">
      <c r="B791" s="224" t="s">
        <v>3128</v>
      </c>
      <c r="C791" t="s">
        <v>172</v>
      </c>
      <c r="E791" t="str">
        <f t="shared" si="16"/>
        <v>김X민</v>
      </c>
    </row>
    <row r="792" spans="2:5">
      <c r="B792" s="224" t="s">
        <v>3129</v>
      </c>
      <c r="C792" t="s">
        <v>82</v>
      </c>
      <c r="E792" t="str">
        <f t="shared" si="16"/>
        <v>정X준</v>
      </c>
    </row>
    <row r="793" spans="2:5">
      <c r="B793" s="224" t="s">
        <v>3130</v>
      </c>
      <c r="C793" t="s">
        <v>171</v>
      </c>
      <c r="E793" t="str">
        <f t="shared" si="16"/>
        <v>이X식</v>
      </c>
    </row>
    <row r="794" spans="2:5">
      <c r="B794" s="224" t="s">
        <v>3131</v>
      </c>
      <c r="C794" t="s">
        <v>172</v>
      </c>
      <c r="E794" t="str">
        <f t="shared" si="16"/>
        <v>김X민</v>
      </c>
    </row>
    <row r="795" spans="2:5">
      <c r="B795" s="224" t="s">
        <v>3132</v>
      </c>
      <c r="C795" t="s">
        <v>82</v>
      </c>
      <c r="E795" t="str">
        <f t="shared" si="16"/>
        <v>정X준</v>
      </c>
    </row>
    <row r="796" spans="2:5">
      <c r="B796" s="224" t="s">
        <v>3133</v>
      </c>
      <c r="C796" t="s">
        <v>171</v>
      </c>
      <c r="E796" t="str">
        <f t="shared" si="16"/>
        <v>이X식</v>
      </c>
    </row>
    <row r="797" spans="2:5">
      <c r="B797" s="224" t="s">
        <v>3134</v>
      </c>
      <c r="C797" t="s">
        <v>172</v>
      </c>
      <c r="E797" t="str">
        <f t="shared" si="16"/>
        <v>김X민</v>
      </c>
    </row>
    <row r="798" spans="2:5">
      <c r="B798" s="224" t="s">
        <v>3135</v>
      </c>
      <c r="C798" t="s">
        <v>82</v>
      </c>
      <c r="E798" t="str">
        <f t="shared" si="16"/>
        <v>정X준</v>
      </c>
    </row>
    <row r="799" spans="2:5">
      <c r="B799" s="224" t="s">
        <v>3136</v>
      </c>
      <c r="C799" t="s">
        <v>171</v>
      </c>
      <c r="E799" t="str">
        <f t="shared" si="16"/>
        <v>이X식</v>
      </c>
    </row>
    <row r="800" spans="2:5">
      <c r="B800" s="224" t="s">
        <v>3137</v>
      </c>
      <c r="C800" t="s">
        <v>172</v>
      </c>
      <c r="E800" t="str">
        <f t="shared" si="16"/>
        <v>김X민</v>
      </c>
    </row>
    <row r="801" spans="2:5">
      <c r="B801" s="224" t="s">
        <v>3138</v>
      </c>
      <c r="C801" t="s">
        <v>82</v>
      </c>
      <c r="E801" t="str">
        <f t="shared" si="16"/>
        <v>정X준</v>
      </c>
    </row>
    <row r="802" spans="2:5">
      <c r="B802" s="224" t="s">
        <v>3139</v>
      </c>
      <c r="C802" t="s">
        <v>171</v>
      </c>
      <c r="E802" t="str">
        <f t="shared" si="16"/>
        <v>이X식</v>
      </c>
    </row>
    <row r="803" spans="2:5">
      <c r="B803" s="224" t="s">
        <v>3140</v>
      </c>
      <c r="C803" t="s">
        <v>172</v>
      </c>
      <c r="E803" t="str">
        <f t="shared" si="16"/>
        <v>김X민</v>
      </c>
    </row>
    <row r="804" spans="2:5">
      <c r="B804" s="224" t="s">
        <v>3141</v>
      </c>
      <c r="C804" t="s">
        <v>82</v>
      </c>
      <c r="E804" t="str">
        <f t="shared" si="16"/>
        <v>정X준</v>
      </c>
    </row>
    <row r="805" spans="2:5">
      <c r="B805" s="224" t="s">
        <v>3142</v>
      </c>
      <c r="C805" t="s">
        <v>171</v>
      </c>
      <c r="E805" t="str">
        <f t="shared" si="16"/>
        <v>이X식</v>
      </c>
    </row>
    <row r="806" spans="2:5">
      <c r="B806" s="224" t="s">
        <v>3143</v>
      </c>
      <c r="C806" t="s">
        <v>172</v>
      </c>
      <c r="E806" t="str">
        <f t="shared" si="16"/>
        <v>김X민</v>
      </c>
    </row>
    <row r="807" spans="2:5">
      <c r="B807" s="224" t="s">
        <v>3144</v>
      </c>
      <c r="C807" t="s">
        <v>82</v>
      </c>
      <c r="E807" t="str">
        <f t="shared" si="16"/>
        <v>정X준</v>
      </c>
    </row>
    <row r="808" spans="2:5">
      <c r="B808" s="224" t="s">
        <v>3145</v>
      </c>
      <c r="C808" t="s">
        <v>171</v>
      </c>
      <c r="E808" t="str">
        <f t="shared" si="16"/>
        <v>이X식</v>
      </c>
    </row>
    <row r="809" spans="2:5">
      <c r="B809" s="224" t="s">
        <v>3146</v>
      </c>
      <c r="C809" t="s">
        <v>172</v>
      </c>
      <c r="E809" t="str">
        <f t="shared" si="16"/>
        <v>김X민</v>
      </c>
    </row>
    <row r="810" spans="2:5">
      <c r="B810" s="224" t="s">
        <v>3147</v>
      </c>
      <c r="C810" t="s">
        <v>82</v>
      </c>
      <c r="E810" t="str">
        <f t="shared" si="16"/>
        <v>정X준</v>
      </c>
    </row>
    <row r="811" spans="2:5">
      <c r="B811" s="224" t="s">
        <v>3148</v>
      </c>
      <c r="C811" t="s">
        <v>171</v>
      </c>
      <c r="E811" t="str">
        <f t="shared" si="16"/>
        <v>이X식</v>
      </c>
    </row>
    <row r="812" spans="2:5">
      <c r="B812" s="224" t="s">
        <v>3149</v>
      </c>
      <c r="C812" t="s">
        <v>172</v>
      </c>
      <c r="E812" t="str">
        <f t="shared" si="16"/>
        <v>김X민</v>
      </c>
    </row>
    <row r="813" spans="2:5">
      <c r="B813" s="224" t="s">
        <v>3150</v>
      </c>
      <c r="C813" t="s">
        <v>82</v>
      </c>
      <c r="E813" t="str">
        <f t="shared" si="16"/>
        <v>정X준</v>
      </c>
    </row>
    <row r="814" spans="2:5">
      <c r="B814" s="224" t="s">
        <v>3151</v>
      </c>
      <c r="C814" t="s">
        <v>171</v>
      </c>
      <c r="E814" t="str">
        <f t="shared" si="16"/>
        <v>이X식</v>
      </c>
    </row>
    <row r="815" spans="2:5">
      <c r="B815" s="224" t="s">
        <v>3152</v>
      </c>
      <c r="C815" t="s">
        <v>172</v>
      </c>
      <c r="E815" t="str">
        <f t="shared" si="16"/>
        <v>김X민</v>
      </c>
    </row>
    <row r="816" spans="2:5">
      <c r="B816" s="224" t="s">
        <v>3153</v>
      </c>
      <c r="C816" t="s">
        <v>82</v>
      </c>
      <c r="E816" t="str">
        <f t="shared" si="16"/>
        <v>정X준</v>
      </c>
    </row>
    <row r="817" spans="2:5">
      <c r="B817" s="224" t="s">
        <v>3154</v>
      </c>
      <c r="C817" t="s">
        <v>171</v>
      </c>
      <c r="E817" t="str">
        <f t="shared" si="16"/>
        <v>이X식</v>
      </c>
    </row>
    <row r="818" spans="2:5">
      <c r="B818" s="224" t="s">
        <v>3155</v>
      </c>
      <c r="C818" t="s">
        <v>172</v>
      </c>
      <c r="E818" t="str">
        <f t="shared" si="16"/>
        <v>김X민</v>
      </c>
    </row>
    <row r="819" spans="2:5">
      <c r="B819" s="224" t="s">
        <v>3156</v>
      </c>
      <c r="C819" t="s">
        <v>82</v>
      </c>
      <c r="E819" t="str">
        <f t="shared" si="16"/>
        <v>정X준</v>
      </c>
    </row>
    <row r="820" spans="2:5">
      <c r="B820" s="224" t="s">
        <v>3157</v>
      </c>
      <c r="C820" t="s">
        <v>171</v>
      </c>
      <c r="E820" t="str">
        <f t="shared" si="16"/>
        <v>이X식</v>
      </c>
    </row>
    <row r="821" spans="2:5">
      <c r="B821" s="224" t="s">
        <v>3158</v>
      </c>
      <c r="C821" t="s">
        <v>172</v>
      </c>
      <c r="E821" t="str">
        <f t="shared" si="16"/>
        <v>김X민</v>
      </c>
    </row>
    <row r="822" spans="2:5">
      <c r="B822" s="224" t="s">
        <v>3159</v>
      </c>
      <c r="C822" t="s">
        <v>82</v>
      </c>
      <c r="E822" t="str">
        <f t="shared" si="16"/>
        <v>정X준</v>
      </c>
    </row>
    <row r="823" spans="2:5">
      <c r="B823" s="224" t="s">
        <v>3160</v>
      </c>
      <c r="C823" t="s">
        <v>171</v>
      </c>
      <c r="E823" t="str">
        <f t="shared" si="16"/>
        <v>이X식</v>
      </c>
    </row>
    <row r="824" spans="2:5">
      <c r="B824" s="224" t="s">
        <v>3161</v>
      </c>
      <c r="C824" t="s">
        <v>172</v>
      </c>
      <c r="E824" t="str">
        <f t="shared" si="16"/>
        <v>김X민</v>
      </c>
    </row>
    <row r="825" spans="2:5">
      <c r="B825" s="224" t="s">
        <v>3162</v>
      </c>
      <c r="C825" t="s">
        <v>82</v>
      </c>
      <c r="E825" t="str">
        <f t="shared" si="16"/>
        <v>정X준</v>
      </c>
    </row>
    <row r="826" spans="2:5">
      <c r="B826" s="224" t="s">
        <v>3163</v>
      </c>
      <c r="C826" t="s">
        <v>171</v>
      </c>
      <c r="E826" t="str">
        <f t="shared" si="16"/>
        <v>이X식</v>
      </c>
    </row>
    <row r="827" spans="2:5">
      <c r="B827" s="224" t="s">
        <v>3164</v>
      </c>
      <c r="C827" t="s">
        <v>172</v>
      </c>
      <c r="E827" t="str">
        <f t="shared" si="16"/>
        <v>김X민</v>
      </c>
    </row>
    <row r="828" spans="2:5">
      <c r="B828" s="224" t="s">
        <v>3165</v>
      </c>
      <c r="C828" t="s">
        <v>82</v>
      </c>
      <c r="E828" t="str">
        <f t="shared" si="16"/>
        <v>정X준</v>
      </c>
    </row>
    <row r="829" spans="2:5">
      <c r="B829" s="224" t="s">
        <v>3166</v>
      </c>
      <c r="C829" t="s">
        <v>171</v>
      </c>
      <c r="E829" t="str">
        <f t="shared" si="16"/>
        <v>이X식</v>
      </c>
    </row>
    <row r="830" spans="2:5">
      <c r="B830" s="224" t="s">
        <v>3167</v>
      </c>
      <c r="C830" t="s">
        <v>172</v>
      </c>
      <c r="E830" t="str">
        <f t="shared" si="16"/>
        <v>김X민</v>
      </c>
    </row>
    <row r="831" spans="2:5">
      <c r="B831" s="224" t="s">
        <v>3168</v>
      </c>
      <c r="C831" t="s">
        <v>82</v>
      </c>
      <c r="E831" t="str">
        <f t="shared" si="16"/>
        <v>정X준</v>
      </c>
    </row>
    <row r="832" spans="2:5">
      <c r="B832" s="224" t="s">
        <v>3169</v>
      </c>
      <c r="C832" t="s">
        <v>171</v>
      </c>
      <c r="E832" t="str">
        <f t="shared" si="16"/>
        <v>이X식</v>
      </c>
    </row>
    <row r="833" spans="2:5">
      <c r="B833" s="224" t="s">
        <v>3170</v>
      </c>
      <c r="C833" t="s">
        <v>172</v>
      </c>
      <c r="E833" t="str">
        <f t="shared" si="16"/>
        <v>김X민</v>
      </c>
    </row>
    <row r="834" spans="2:5">
      <c r="B834" s="224" t="s">
        <v>3171</v>
      </c>
      <c r="C834" t="s">
        <v>82</v>
      </c>
      <c r="E834" t="str">
        <f t="shared" si="16"/>
        <v>정X준</v>
      </c>
    </row>
    <row r="835" spans="2:5">
      <c r="B835" s="224" t="s">
        <v>3172</v>
      </c>
      <c r="C835" t="s">
        <v>171</v>
      </c>
      <c r="E835" t="str">
        <f t="shared" si="16"/>
        <v>이X식</v>
      </c>
    </row>
    <row r="836" spans="2:5">
      <c r="B836" s="224" t="s">
        <v>3173</v>
      </c>
      <c r="C836" t="s">
        <v>172</v>
      </c>
      <c r="E836" t="str">
        <f t="shared" ref="E836:E869" si="17">REPLACE(C836,2,1,"X")</f>
        <v>김X민</v>
      </c>
    </row>
    <row r="837" spans="2:5">
      <c r="B837" s="224" t="s">
        <v>3174</v>
      </c>
      <c r="C837" t="s">
        <v>82</v>
      </c>
      <c r="E837" t="str">
        <f t="shared" si="17"/>
        <v>정X준</v>
      </c>
    </row>
    <row r="838" spans="2:5">
      <c r="B838" s="224" t="s">
        <v>3175</v>
      </c>
      <c r="C838" t="s">
        <v>171</v>
      </c>
      <c r="E838" t="str">
        <f t="shared" si="17"/>
        <v>이X식</v>
      </c>
    </row>
    <row r="839" spans="2:5">
      <c r="B839" s="224" t="s">
        <v>3176</v>
      </c>
      <c r="C839" t="s">
        <v>172</v>
      </c>
      <c r="E839" t="str">
        <f t="shared" si="17"/>
        <v>김X민</v>
      </c>
    </row>
    <row r="840" spans="2:5">
      <c r="B840" s="224" t="s">
        <v>3177</v>
      </c>
      <c r="C840" t="s">
        <v>82</v>
      </c>
      <c r="E840" t="str">
        <f t="shared" si="17"/>
        <v>정X준</v>
      </c>
    </row>
    <row r="841" spans="2:5">
      <c r="B841" s="224" t="s">
        <v>3178</v>
      </c>
      <c r="C841" t="s">
        <v>171</v>
      </c>
      <c r="E841" t="str">
        <f t="shared" si="17"/>
        <v>이X식</v>
      </c>
    </row>
    <row r="842" spans="2:5">
      <c r="B842" s="224" t="s">
        <v>3179</v>
      </c>
      <c r="C842" t="s">
        <v>172</v>
      </c>
      <c r="E842" t="str">
        <f t="shared" si="17"/>
        <v>김X민</v>
      </c>
    </row>
    <row r="843" spans="2:5">
      <c r="B843" s="224" t="s">
        <v>3180</v>
      </c>
      <c r="C843" t="s">
        <v>82</v>
      </c>
      <c r="E843" t="str">
        <f t="shared" si="17"/>
        <v>정X준</v>
      </c>
    </row>
    <row r="844" spans="2:5">
      <c r="B844" s="224" t="s">
        <v>3181</v>
      </c>
      <c r="C844" t="s">
        <v>171</v>
      </c>
      <c r="E844" t="str">
        <f t="shared" si="17"/>
        <v>이X식</v>
      </c>
    </row>
    <row r="845" spans="2:5">
      <c r="B845" s="224" t="s">
        <v>3182</v>
      </c>
      <c r="C845" t="s">
        <v>172</v>
      </c>
      <c r="E845" t="str">
        <f t="shared" si="17"/>
        <v>김X민</v>
      </c>
    </row>
    <row r="846" spans="2:5">
      <c r="B846" s="224" t="s">
        <v>3183</v>
      </c>
      <c r="C846" t="s">
        <v>82</v>
      </c>
      <c r="E846" t="str">
        <f t="shared" si="17"/>
        <v>정X준</v>
      </c>
    </row>
    <row r="847" spans="2:5">
      <c r="B847" s="224" t="s">
        <v>3184</v>
      </c>
      <c r="C847" t="s">
        <v>171</v>
      </c>
      <c r="E847" t="str">
        <f t="shared" si="17"/>
        <v>이X식</v>
      </c>
    </row>
    <row r="848" spans="2:5">
      <c r="B848" s="224" t="s">
        <v>3185</v>
      </c>
      <c r="C848" t="s">
        <v>172</v>
      </c>
      <c r="E848" t="str">
        <f t="shared" si="17"/>
        <v>김X민</v>
      </c>
    </row>
    <row r="849" spans="2:5">
      <c r="B849" s="224" t="s">
        <v>3186</v>
      </c>
      <c r="C849" t="s">
        <v>82</v>
      </c>
      <c r="E849" t="str">
        <f t="shared" si="17"/>
        <v>정X준</v>
      </c>
    </row>
    <row r="850" spans="2:5">
      <c r="B850" s="224" t="s">
        <v>3187</v>
      </c>
      <c r="C850" t="s">
        <v>171</v>
      </c>
      <c r="E850" t="str">
        <f t="shared" si="17"/>
        <v>이X식</v>
      </c>
    </row>
    <row r="851" spans="2:5">
      <c r="B851" s="224" t="s">
        <v>3188</v>
      </c>
      <c r="C851" t="s">
        <v>172</v>
      </c>
      <c r="E851" t="str">
        <f t="shared" si="17"/>
        <v>김X민</v>
      </c>
    </row>
    <row r="852" spans="2:5">
      <c r="B852" s="224" t="s">
        <v>3189</v>
      </c>
      <c r="C852" t="s">
        <v>82</v>
      </c>
      <c r="E852" t="str">
        <f t="shared" si="17"/>
        <v>정X준</v>
      </c>
    </row>
    <row r="853" spans="2:5">
      <c r="B853" s="224" t="s">
        <v>3190</v>
      </c>
      <c r="C853" t="s">
        <v>171</v>
      </c>
      <c r="E853" t="str">
        <f t="shared" si="17"/>
        <v>이X식</v>
      </c>
    </row>
    <row r="854" spans="2:5">
      <c r="B854" s="224" t="s">
        <v>3191</v>
      </c>
      <c r="C854" t="s">
        <v>172</v>
      </c>
      <c r="E854" t="str">
        <f t="shared" si="17"/>
        <v>김X민</v>
      </c>
    </row>
    <row r="855" spans="2:5">
      <c r="B855" s="224" t="s">
        <v>3192</v>
      </c>
      <c r="C855" t="s">
        <v>82</v>
      </c>
      <c r="E855" t="str">
        <f t="shared" si="17"/>
        <v>정X준</v>
      </c>
    </row>
    <row r="856" spans="2:5">
      <c r="B856" s="224" t="s">
        <v>3193</v>
      </c>
      <c r="C856" t="s">
        <v>171</v>
      </c>
      <c r="E856" t="str">
        <f t="shared" si="17"/>
        <v>이X식</v>
      </c>
    </row>
    <row r="857" spans="2:5">
      <c r="B857" s="224" t="s">
        <v>3194</v>
      </c>
      <c r="C857" t="s">
        <v>172</v>
      </c>
      <c r="E857" t="str">
        <f t="shared" si="17"/>
        <v>김X민</v>
      </c>
    </row>
    <row r="858" spans="2:5">
      <c r="B858" s="224" t="s">
        <v>3195</v>
      </c>
      <c r="C858" t="s">
        <v>82</v>
      </c>
      <c r="E858" t="str">
        <f t="shared" si="17"/>
        <v>정X준</v>
      </c>
    </row>
    <row r="859" spans="2:5">
      <c r="B859" s="224" t="s">
        <v>3196</v>
      </c>
      <c r="C859" t="s">
        <v>171</v>
      </c>
      <c r="E859" t="str">
        <f t="shared" si="17"/>
        <v>이X식</v>
      </c>
    </row>
    <row r="860" spans="2:5">
      <c r="B860" s="224" t="s">
        <v>3197</v>
      </c>
      <c r="C860" t="s">
        <v>172</v>
      </c>
      <c r="E860" t="str">
        <f t="shared" si="17"/>
        <v>김X민</v>
      </c>
    </row>
    <row r="861" spans="2:5">
      <c r="B861" s="224" t="s">
        <v>3198</v>
      </c>
      <c r="C861" t="s">
        <v>82</v>
      </c>
      <c r="E861" t="str">
        <f t="shared" si="17"/>
        <v>정X준</v>
      </c>
    </row>
    <row r="862" spans="2:5">
      <c r="B862" s="224" t="s">
        <v>3199</v>
      </c>
      <c r="C862" t="s">
        <v>171</v>
      </c>
      <c r="E862" t="str">
        <f t="shared" si="17"/>
        <v>이X식</v>
      </c>
    </row>
    <row r="863" spans="2:5">
      <c r="B863" s="224" t="s">
        <v>3200</v>
      </c>
      <c r="C863" t="s">
        <v>172</v>
      </c>
      <c r="E863" t="str">
        <f t="shared" si="17"/>
        <v>김X민</v>
      </c>
    </row>
    <row r="864" spans="2:5">
      <c r="B864" s="224" t="s">
        <v>3201</v>
      </c>
      <c r="C864" t="s">
        <v>82</v>
      </c>
      <c r="E864" t="str">
        <f t="shared" si="17"/>
        <v>정X준</v>
      </c>
    </row>
    <row r="865" spans="2:5">
      <c r="B865" s="224" t="s">
        <v>3202</v>
      </c>
      <c r="C865" t="s">
        <v>171</v>
      </c>
      <c r="E865" t="str">
        <f t="shared" si="17"/>
        <v>이X식</v>
      </c>
    </row>
    <row r="866" spans="2:5">
      <c r="B866" s="224" t="s">
        <v>3203</v>
      </c>
      <c r="C866" t="s">
        <v>172</v>
      </c>
      <c r="E866" t="str">
        <f t="shared" si="17"/>
        <v>김X민</v>
      </c>
    </row>
    <row r="867" spans="2:5">
      <c r="B867" s="224" t="s">
        <v>3204</v>
      </c>
      <c r="C867" t="s">
        <v>82</v>
      </c>
      <c r="E867" t="str">
        <f t="shared" si="17"/>
        <v>정X준</v>
      </c>
    </row>
    <row r="868" spans="2:5">
      <c r="B868" s="224" t="s">
        <v>3205</v>
      </c>
      <c r="C868" t="s">
        <v>171</v>
      </c>
      <c r="E868" t="str">
        <f t="shared" si="17"/>
        <v>이X식</v>
      </c>
    </row>
    <row r="869" spans="2:5">
      <c r="B869" s="224" t="s">
        <v>3206</v>
      </c>
      <c r="C869" t="s">
        <v>172</v>
      </c>
      <c r="E869" t="str">
        <f t="shared" si="17"/>
        <v>김X민</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C3:M20"/>
  <sheetViews>
    <sheetView topLeftCell="A9" workbookViewId="0">
      <selection activeCell="N36" sqref="N36"/>
    </sheetView>
  </sheetViews>
  <sheetFormatPr defaultRowHeight="17.399999999999999"/>
  <cols>
    <col min="3" max="3" width="17.3984375" bestFit="1" customWidth="1"/>
    <col min="4" max="4" width="11.8984375" bestFit="1" customWidth="1"/>
    <col min="5" max="5" width="11.3984375" customWidth="1"/>
    <col min="6" max="6" width="14.69921875" customWidth="1"/>
    <col min="7" max="7" width="14.19921875" customWidth="1"/>
    <col min="8" max="8" width="13.19921875" bestFit="1" customWidth="1"/>
    <col min="9" max="9" width="7.3984375" bestFit="1" customWidth="1"/>
    <col min="10" max="10" width="7.5" customWidth="1"/>
    <col min="11" max="13" width="11" customWidth="1"/>
  </cols>
  <sheetData>
    <row r="3" spans="3:13" ht="25.2">
      <c r="J3" s="227" t="s">
        <v>204</v>
      </c>
      <c r="K3" s="227"/>
      <c r="L3" s="228"/>
    </row>
    <row r="4" spans="3:13" ht="21">
      <c r="C4" s="30" t="s">
        <v>93</v>
      </c>
      <c r="D4" s="30" t="s">
        <v>105</v>
      </c>
      <c r="E4" s="30" t="s">
        <v>114</v>
      </c>
      <c r="F4" s="30" t="s">
        <v>94</v>
      </c>
      <c r="G4" s="30" t="s">
        <v>95</v>
      </c>
      <c r="J4" s="3"/>
      <c r="K4" s="3" t="s">
        <v>110</v>
      </c>
      <c r="L4" s="3" t="s">
        <v>108</v>
      </c>
      <c r="M4" s="3" t="s">
        <v>106</v>
      </c>
    </row>
    <row r="5" spans="3:13" ht="21">
      <c r="C5" s="8" t="s">
        <v>99</v>
      </c>
      <c r="D5" s="43" t="s">
        <v>110</v>
      </c>
      <c r="E5" s="44">
        <v>76</v>
      </c>
      <c r="F5" s="44">
        <v>8</v>
      </c>
      <c r="G5" s="45">
        <f t="shared" ref="G5:G20" si="0">E5*F5</f>
        <v>608</v>
      </c>
      <c r="J5" s="3" t="s">
        <v>99</v>
      </c>
      <c r="K5" s="3">
        <f t="array" ref="K5">SUM(($C$5:$C$20=$J5)*($D$5:$D$20=K$4)*$G$5:$G$20)</f>
        <v>608</v>
      </c>
      <c r="L5" s="3">
        <f t="array" ref="L5">SUM(($C$5:$C$20=$J5)*($D$5:$D$20=L$4)*$G$5:$G$20)</f>
        <v>0</v>
      </c>
      <c r="M5" s="3">
        <f t="array" ref="M5">SUM(($C$5:$C$20=$J5)*($D$5:$D$20=M$4)*$G$5:$G$20)</f>
        <v>948</v>
      </c>
    </row>
    <row r="6" spans="3:13" ht="21">
      <c r="C6" s="8" t="s">
        <v>102</v>
      </c>
      <c r="D6" s="43" t="s">
        <v>112</v>
      </c>
      <c r="E6" s="44">
        <v>543</v>
      </c>
      <c r="F6" s="44">
        <v>12</v>
      </c>
      <c r="G6" s="45">
        <f t="shared" si="0"/>
        <v>6516</v>
      </c>
      <c r="J6" s="3" t="s">
        <v>102</v>
      </c>
      <c r="K6" s="3">
        <f t="array" ref="K6">SUM(($C$5:$C$20=$J6)*($D$5:$D$20=K$4)*$G$5:$G$20)</f>
        <v>0</v>
      </c>
      <c r="L6" s="3">
        <f t="array" ref="L6">SUM(($C$5:$C$20=$J6)*($D$5:$D$20=L$4)*$G$5:$G$20)</f>
        <v>2592</v>
      </c>
      <c r="M6" s="3">
        <f t="array" ref="M6">SUM(($C$5:$C$20=$J6)*($D$5:$D$20=M$4)*$G$5:$G$20)</f>
        <v>0</v>
      </c>
    </row>
    <row r="7" spans="3:13" ht="21">
      <c r="C7" s="8" t="s">
        <v>98</v>
      </c>
      <c r="D7" s="43" t="s">
        <v>110</v>
      </c>
      <c r="E7" s="44">
        <v>145</v>
      </c>
      <c r="F7" s="44">
        <v>3</v>
      </c>
      <c r="G7" s="45">
        <f t="shared" si="0"/>
        <v>435</v>
      </c>
      <c r="J7" s="3" t="s">
        <v>104</v>
      </c>
      <c r="K7" s="3">
        <f t="array" ref="K7">SUM(($C$5:$C$20=$J7)*($D$5:$D$20=K$4)*$G$5:$G$20)</f>
        <v>0</v>
      </c>
      <c r="L7" s="3">
        <f t="array" ref="L7">SUM(($C$5:$C$20=$J7)*($D$5:$D$20=L$4)*$G$5:$G$20)</f>
        <v>912</v>
      </c>
      <c r="M7" s="3">
        <f t="array" ref="M7">SUM(($C$5:$C$20=$J7)*($D$5:$D$20=M$4)*$G$5:$G$20)</f>
        <v>0</v>
      </c>
    </row>
    <row r="8" spans="3:13" ht="21">
      <c r="C8" s="8" t="s">
        <v>104</v>
      </c>
      <c r="D8" s="43" t="s">
        <v>108</v>
      </c>
      <c r="E8" s="44">
        <v>76</v>
      </c>
      <c r="F8" s="44">
        <v>12</v>
      </c>
      <c r="G8" s="45">
        <f t="shared" si="0"/>
        <v>912</v>
      </c>
    </row>
    <row r="9" spans="3:13" ht="21">
      <c r="C9" s="8" t="s">
        <v>102</v>
      </c>
      <c r="D9" s="43" t="s">
        <v>108</v>
      </c>
      <c r="E9" s="44">
        <v>432</v>
      </c>
      <c r="F9" s="44">
        <v>6</v>
      </c>
      <c r="G9" s="45">
        <f t="shared" si="0"/>
        <v>2592</v>
      </c>
    </row>
    <row r="10" spans="3:13" ht="25.2">
      <c r="C10" s="8" t="s">
        <v>101</v>
      </c>
      <c r="D10" s="43" t="s">
        <v>108</v>
      </c>
      <c r="E10" s="44">
        <v>234</v>
      </c>
      <c r="F10" s="44">
        <v>5</v>
      </c>
      <c r="G10" s="45">
        <f t="shared" si="0"/>
        <v>1170</v>
      </c>
      <c r="J10" s="227" t="s">
        <v>203</v>
      </c>
      <c r="K10" s="227"/>
      <c r="L10" s="228"/>
    </row>
    <row r="11" spans="3:13" ht="21">
      <c r="C11" s="8" t="s">
        <v>103</v>
      </c>
      <c r="D11" s="43" t="s">
        <v>110</v>
      </c>
      <c r="E11" s="44">
        <v>56</v>
      </c>
      <c r="F11" s="44">
        <v>23</v>
      </c>
      <c r="G11" s="45">
        <f t="shared" si="0"/>
        <v>1288</v>
      </c>
      <c r="J11" s="3"/>
      <c r="K11" s="3" t="s">
        <v>110</v>
      </c>
      <c r="L11" s="3" t="s">
        <v>108</v>
      </c>
      <c r="M11" s="3" t="s">
        <v>106</v>
      </c>
    </row>
    <row r="12" spans="3:13" ht="21">
      <c r="C12" s="8" t="s">
        <v>104</v>
      </c>
      <c r="D12" s="43" t="s">
        <v>107</v>
      </c>
      <c r="E12" s="44">
        <v>234</v>
      </c>
      <c r="F12" s="44">
        <v>13</v>
      </c>
      <c r="G12" s="45">
        <f t="shared" si="0"/>
        <v>3042</v>
      </c>
      <c r="J12" s="3" t="s">
        <v>99</v>
      </c>
      <c r="K12" s="3" cm="1">
        <f t="array" ref="K12">SUM(IF(($C$5:$C$20=$J12)*($D$5:$D$20=K$11),$G$5:$G$20))</f>
        <v>608</v>
      </c>
      <c r="L12" s="3" cm="1">
        <f t="array" ref="L12">SUM(IF(($C$5:$C$20=$J12)*($D$5:$D$20=L$11),$G$5:$G$20))</f>
        <v>0</v>
      </c>
      <c r="M12" s="3" cm="1">
        <f t="array" ref="M12">SUM(IF(($C$5:$C$20=$J12)*($D$5:$D$20=M$11),$G$5:$G$20))</f>
        <v>948</v>
      </c>
    </row>
    <row r="13" spans="3:13" ht="21">
      <c r="C13" s="8" t="s">
        <v>103</v>
      </c>
      <c r="D13" s="43" t="s">
        <v>111</v>
      </c>
      <c r="E13" s="44">
        <v>34</v>
      </c>
      <c r="F13" s="44">
        <v>11</v>
      </c>
      <c r="G13" s="45">
        <f t="shared" si="0"/>
        <v>374</v>
      </c>
      <c r="J13" s="3" t="s">
        <v>102</v>
      </c>
      <c r="K13" s="3" cm="1">
        <f t="array" ref="K13">SUM(IF(($C$5:$C$20=$J13)*($D$5:$D$20=K$11),$G$5:$G$20))</f>
        <v>0</v>
      </c>
      <c r="L13" s="3" cm="1">
        <f t="array" ref="L13">SUM(IF(($C$5:$C$20=$J13)*($D$5:$D$20=L$11),$G$5:$G$20))</f>
        <v>2592</v>
      </c>
      <c r="M13" s="3" cm="1">
        <f t="array" ref="M13">SUM(IF(($C$5:$C$20=$J13)*($D$5:$D$20=M$11),$G$5:$G$20))</f>
        <v>0</v>
      </c>
    </row>
    <row r="14" spans="3:13" ht="21">
      <c r="C14" s="8" t="s">
        <v>100</v>
      </c>
      <c r="D14" s="43" t="s">
        <v>110</v>
      </c>
      <c r="E14" s="44">
        <v>54</v>
      </c>
      <c r="F14" s="44">
        <v>10</v>
      </c>
      <c r="G14" s="45">
        <f t="shared" si="0"/>
        <v>540</v>
      </c>
      <c r="J14" s="3" t="s">
        <v>104</v>
      </c>
      <c r="K14" s="3" cm="1">
        <f t="array" ref="K14">SUM(IF(($C$5:$C$20=$J14)*($D$5:$D$20=K$11),$G$5:$G$20))</f>
        <v>0</v>
      </c>
      <c r="L14" s="3" cm="1">
        <f t="array" ref="L14">SUM(IF(($C$5:$C$20=$J14)*($D$5:$D$20=L$11),$G$5:$G$20))</f>
        <v>912</v>
      </c>
      <c r="M14" s="3" cm="1">
        <f t="array" ref="M14">SUM(IF(($C$5:$C$20=$J14)*($D$5:$D$20=M$11),$G$5:$G$20))</f>
        <v>0</v>
      </c>
    </row>
    <row r="15" spans="3:13" ht="21">
      <c r="C15" s="8" t="s">
        <v>104</v>
      </c>
      <c r="D15" s="43" t="s">
        <v>112</v>
      </c>
      <c r="E15" s="44">
        <v>65</v>
      </c>
      <c r="F15" s="44">
        <v>12</v>
      </c>
      <c r="G15" s="45">
        <f t="shared" si="0"/>
        <v>780</v>
      </c>
    </row>
    <row r="16" spans="3:13" ht="21">
      <c r="C16" s="8" t="s">
        <v>99</v>
      </c>
      <c r="D16" s="43" t="s">
        <v>106</v>
      </c>
      <c r="E16" s="44">
        <v>34</v>
      </c>
      <c r="F16" s="44">
        <v>12</v>
      </c>
      <c r="G16" s="45">
        <f t="shared" ref="G16:G17" si="1">E16*F16</f>
        <v>408</v>
      </c>
    </row>
    <row r="17" spans="3:7" ht="21">
      <c r="C17" s="8" t="s">
        <v>102</v>
      </c>
      <c r="D17" s="43" t="s">
        <v>109</v>
      </c>
      <c r="E17" s="44">
        <v>43</v>
      </c>
      <c r="F17" s="44">
        <v>12</v>
      </c>
      <c r="G17" s="45">
        <f t="shared" si="1"/>
        <v>516</v>
      </c>
    </row>
    <row r="18" spans="3:7" ht="21">
      <c r="C18" s="8" t="s">
        <v>99</v>
      </c>
      <c r="D18" s="43" t="s">
        <v>113</v>
      </c>
      <c r="E18" s="44">
        <v>433</v>
      </c>
      <c r="F18" s="44">
        <v>14</v>
      </c>
      <c r="G18" s="45">
        <f t="shared" si="0"/>
        <v>6062</v>
      </c>
    </row>
    <row r="19" spans="3:7" ht="21">
      <c r="C19" s="8" t="s">
        <v>99</v>
      </c>
      <c r="D19" s="43" t="s">
        <v>106</v>
      </c>
      <c r="E19" s="44">
        <v>45</v>
      </c>
      <c r="F19" s="44">
        <v>12</v>
      </c>
      <c r="G19" s="45">
        <f t="shared" si="0"/>
        <v>540</v>
      </c>
    </row>
    <row r="20" spans="3:7" ht="21">
      <c r="C20" s="8" t="s">
        <v>102</v>
      </c>
      <c r="D20" s="43" t="s">
        <v>109</v>
      </c>
      <c r="E20" s="44">
        <v>123</v>
      </c>
      <c r="F20" s="44">
        <v>12</v>
      </c>
      <c r="G20" s="45">
        <f t="shared" si="0"/>
        <v>1476</v>
      </c>
    </row>
  </sheetData>
  <sortState xmlns:xlrd2="http://schemas.microsoft.com/office/spreadsheetml/2017/richdata2" ref="C5:G20">
    <sortCondition ref="D5:D20"/>
  </sortState>
  <mergeCells count="2">
    <mergeCell ref="J3:L3"/>
    <mergeCell ref="J10:L10"/>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M30"/>
  <sheetViews>
    <sheetView topLeftCell="B1" zoomScale="85" zoomScaleNormal="85" workbookViewId="0">
      <selection activeCell="J32" sqref="J32"/>
    </sheetView>
  </sheetViews>
  <sheetFormatPr defaultRowHeight="17.399999999999999"/>
  <cols>
    <col min="2" max="2" width="16.19921875" customWidth="1"/>
    <col min="3" max="3" width="11.8984375" bestFit="1" customWidth="1"/>
    <col min="4" max="4" width="12.5" customWidth="1"/>
    <col min="5" max="5" width="18.59765625" customWidth="1"/>
    <col min="6" max="6" width="14" customWidth="1"/>
    <col min="7" max="7" width="21.69921875" customWidth="1"/>
    <col min="8" max="8" width="8.5" bestFit="1" customWidth="1"/>
    <col min="9" max="9" width="18.59765625" customWidth="1"/>
    <col min="10" max="10" width="15.69921875" bestFit="1" customWidth="1"/>
    <col min="11" max="11" width="5.3984375" customWidth="1"/>
    <col min="12" max="12" width="22.19921875" customWidth="1"/>
    <col min="13" max="13" width="19.3984375" bestFit="1" customWidth="1"/>
    <col min="14" max="14" width="20.59765625" bestFit="1" customWidth="1"/>
  </cols>
  <sheetData>
    <row r="1" spans="1:13">
      <c r="A1" s="33" t="s">
        <v>115</v>
      </c>
      <c r="B1" s="34"/>
      <c r="C1" s="34"/>
      <c r="D1" s="34"/>
      <c r="E1" s="34"/>
      <c r="F1" s="34"/>
      <c r="G1" s="34"/>
      <c r="H1" s="35"/>
      <c r="I1" s="33" t="s">
        <v>116</v>
      </c>
      <c r="J1" s="34"/>
      <c r="K1" s="36"/>
      <c r="L1" s="33"/>
      <c r="M1" s="34"/>
    </row>
    <row r="2" spans="1:13">
      <c r="A2" s="37" t="s">
        <v>117</v>
      </c>
      <c r="B2" s="37" t="s">
        <v>118</v>
      </c>
      <c r="C2" s="37" t="s">
        <v>70</v>
      </c>
      <c r="D2" s="37" t="s">
        <v>119</v>
      </c>
      <c r="E2" s="37" t="s">
        <v>120</v>
      </c>
      <c r="F2" s="38" t="s">
        <v>121</v>
      </c>
      <c r="G2" s="38" t="s">
        <v>122</v>
      </c>
      <c r="H2" s="35"/>
      <c r="I2" s="37" t="s">
        <v>122</v>
      </c>
      <c r="J2" s="37" t="s">
        <v>123</v>
      </c>
      <c r="K2" s="36"/>
      <c r="L2" s="37" t="s">
        <v>122</v>
      </c>
      <c r="M2" s="37" t="s">
        <v>121</v>
      </c>
    </row>
    <row r="3" spans="1:13">
      <c r="A3" s="39">
        <v>1</v>
      </c>
      <c r="B3" s="39" t="s">
        <v>124</v>
      </c>
      <c r="C3" s="39" t="s">
        <v>125</v>
      </c>
      <c r="D3" s="39" t="s">
        <v>126</v>
      </c>
      <c r="E3" s="39" t="s">
        <v>127</v>
      </c>
      <c r="F3" s="47"/>
      <c r="G3" s="39"/>
      <c r="H3" s="35"/>
      <c r="I3" s="40" t="s">
        <v>124</v>
      </c>
      <c r="J3" s="40" t="s">
        <v>128</v>
      </c>
      <c r="K3" s="34"/>
      <c r="L3" s="39" t="s">
        <v>128</v>
      </c>
      <c r="M3" s="41"/>
    </row>
    <row r="4" spans="1:13">
      <c r="A4" s="39">
        <v>2</v>
      </c>
      <c r="B4" s="86" t="s">
        <v>129</v>
      </c>
      <c r="C4" s="86" t="s">
        <v>130</v>
      </c>
      <c r="D4" s="86" t="s">
        <v>126</v>
      </c>
      <c r="E4" s="86" t="s">
        <v>127</v>
      </c>
      <c r="F4" s="47"/>
      <c r="G4" s="39"/>
      <c r="H4" s="87"/>
      <c r="I4" s="86" t="s">
        <v>129</v>
      </c>
      <c r="J4" s="86" t="s">
        <v>128</v>
      </c>
      <c r="K4" s="88"/>
      <c r="L4" s="39" t="s">
        <v>131</v>
      </c>
      <c r="M4" s="41"/>
    </row>
    <row r="5" spans="1:13">
      <c r="A5" s="39">
        <v>3</v>
      </c>
      <c r="B5" s="86" t="s">
        <v>132</v>
      </c>
      <c r="C5" s="86" t="s">
        <v>84</v>
      </c>
      <c r="D5" s="86" t="s">
        <v>126</v>
      </c>
      <c r="E5" s="86" t="s">
        <v>159</v>
      </c>
      <c r="F5" s="47"/>
      <c r="G5" s="39"/>
      <c r="H5" s="87"/>
      <c r="I5" s="86" t="s">
        <v>132</v>
      </c>
      <c r="J5" s="86" t="s">
        <v>131</v>
      </c>
      <c r="K5" s="88"/>
      <c r="L5" s="39" t="s">
        <v>133</v>
      </c>
      <c r="M5" s="41"/>
    </row>
    <row r="6" spans="1:13">
      <c r="A6" s="39">
        <v>4</v>
      </c>
      <c r="B6" s="86" t="s">
        <v>134</v>
      </c>
      <c r="C6" s="86" t="s">
        <v>135</v>
      </c>
      <c r="D6" s="86" t="s">
        <v>126</v>
      </c>
      <c r="E6" s="86" t="s">
        <v>127</v>
      </c>
      <c r="F6" s="47"/>
      <c r="G6" s="39"/>
      <c r="H6" s="87"/>
      <c r="I6" s="86" t="s">
        <v>134</v>
      </c>
      <c r="J6" s="86" t="s">
        <v>131</v>
      </c>
      <c r="K6" s="88"/>
      <c r="L6" s="39" t="s">
        <v>136</v>
      </c>
      <c r="M6" s="41"/>
    </row>
    <row r="7" spans="1:13">
      <c r="A7" s="39">
        <v>5</v>
      </c>
      <c r="B7" s="86" t="s">
        <v>137</v>
      </c>
      <c r="C7" s="86" t="s">
        <v>138</v>
      </c>
      <c r="D7" s="86" t="s">
        <v>139</v>
      </c>
      <c r="E7" s="86" t="s">
        <v>159</v>
      </c>
      <c r="F7" s="47"/>
      <c r="G7" s="39"/>
      <c r="H7" s="87"/>
      <c r="I7" s="86" t="s">
        <v>137</v>
      </c>
      <c r="J7" s="86" t="s">
        <v>131</v>
      </c>
      <c r="K7" s="88"/>
      <c r="L7" s="34"/>
      <c r="M7" s="48">
        <f>SUM(M3:M6)</f>
        <v>0</v>
      </c>
    </row>
    <row r="8" spans="1:13">
      <c r="A8" s="39">
        <v>6</v>
      </c>
      <c r="B8" s="86" t="s">
        <v>140</v>
      </c>
      <c r="C8" s="86" t="s">
        <v>141</v>
      </c>
      <c r="D8" s="86" t="s">
        <v>139</v>
      </c>
      <c r="E8" s="86" t="s">
        <v>152</v>
      </c>
      <c r="F8" s="47"/>
      <c r="G8" s="39"/>
      <c r="H8" s="87"/>
      <c r="I8" s="86" t="s">
        <v>140</v>
      </c>
      <c r="J8" s="86" t="s">
        <v>133</v>
      </c>
      <c r="K8" s="88"/>
      <c r="L8" s="33"/>
      <c r="M8" s="34"/>
    </row>
    <row r="9" spans="1:13">
      <c r="A9" s="39">
        <v>7</v>
      </c>
      <c r="B9" s="86" t="s">
        <v>143</v>
      </c>
      <c r="C9" s="86" t="s">
        <v>144</v>
      </c>
      <c r="D9" s="86" t="s">
        <v>139</v>
      </c>
      <c r="E9" s="86" t="s">
        <v>142</v>
      </c>
      <c r="F9" s="47"/>
      <c r="G9" s="39"/>
      <c r="H9" s="87"/>
      <c r="I9" s="86" t="s">
        <v>143</v>
      </c>
      <c r="J9" s="86" t="s">
        <v>133</v>
      </c>
      <c r="K9" s="88"/>
      <c r="L9" s="37" t="s">
        <v>120</v>
      </c>
      <c r="M9" s="37" t="s">
        <v>5</v>
      </c>
    </row>
    <row r="10" spans="1:13">
      <c r="A10" s="39">
        <v>8</v>
      </c>
      <c r="B10" s="86" t="s">
        <v>145</v>
      </c>
      <c r="C10" s="86" t="s">
        <v>146</v>
      </c>
      <c r="D10" s="86" t="s">
        <v>139</v>
      </c>
      <c r="E10" s="86" t="s">
        <v>127</v>
      </c>
      <c r="F10" s="47"/>
      <c r="G10" s="39"/>
      <c r="H10" s="87"/>
      <c r="I10" s="86" t="s">
        <v>145</v>
      </c>
      <c r="J10" s="86" t="s">
        <v>136</v>
      </c>
      <c r="K10" s="88"/>
      <c r="L10" s="39" t="s">
        <v>127</v>
      </c>
      <c r="M10" s="42"/>
    </row>
    <row r="11" spans="1:13">
      <c r="A11" s="39">
        <v>9</v>
      </c>
      <c r="B11" s="86" t="s">
        <v>147</v>
      </c>
      <c r="C11" s="86" t="s">
        <v>148</v>
      </c>
      <c r="D11" s="86" t="s">
        <v>149</v>
      </c>
      <c r="E11" s="86" t="s">
        <v>150</v>
      </c>
      <c r="F11" s="47"/>
      <c r="G11" s="39"/>
      <c r="H11" s="87"/>
      <c r="I11" s="86" t="s">
        <v>147</v>
      </c>
      <c r="J11" s="86" t="s">
        <v>136</v>
      </c>
      <c r="K11" s="88"/>
      <c r="L11" s="39" t="s">
        <v>142</v>
      </c>
      <c r="M11" s="42"/>
    </row>
    <row r="12" spans="1:13">
      <c r="A12" s="39">
        <v>10</v>
      </c>
      <c r="B12" s="86" t="s">
        <v>124</v>
      </c>
      <c r="C12" s="86" t="s">
        <v>151</v>
      </c>
      <c r="D12" s="86" t="s">
        <v>149</v>
      </c>
      <c r="E12" s="86" t="s">
        <v>152</v>
      </c>
      <c r="F12" s="47"/>
      <c r="G12" s="39"/>
      <c r="H12" s="87"/>
      <c r="I12" s="88"/>
      <c r="J12" s="88"/>
      <c r="K12" s="89"/>
      <c r="L12" s="39" t="s">
        <v>152</v>
      </c>
      <c r="M12" s="42"/>
    </row>
    <row r="13" spans="1:13">
      <c r="A13" s="39">
        <v>11</v>
      </c>
      <c r="B13" s="86" t="s">
        <v>129</v>
      </c>
      <c r="C13" s="86" t="s">
        <v>153</v>
      </c>
      <c r="D13" s="86" t="s">
        <v>149</v>
      </c>
      <c r="E13" s="86" t="s">
        <v>127</v>
      </c>
      <c r="F13" s="47"/>
      <c r="G13" s="39"/>
      <c r="H13" s="87"/>
      <c r="I13" s="86" t="s">
        <v>120</v>
      </c>
      <c r="J13" s="86" t="s">
        <v>154</v>
      </c>
      <c r="K13" s="89"/>
      <c r="L13" s="39" t="s">
        <v>150</v>
      </c>
      <c r="M13" s="42"/>
    </row>
    <row r="14" spans="1:13">
      <c r="A14" s="39">
        <v>12</v>
      </c>
      <c r="B14" s="86" t="s">
        <v>132</v>
      </c>
      <c r="C14" s="86" t="s">
        <v>155</v>
      </c>
      <c r="D14" s="86" t="s">
        <v>149</v>
      </c>
      <c r="E14" s="86" t="s">
        <v>150</v>
      </c>
      <c r="F14" s="47"/>
      <c r="G14" s="39"/>
      <c r="H14" s="87"/>
      <c r="I14" s="86" t="s">
        <v>127</v>
      </c>
      <c r="J14" s="90">
        <v>8500</v>
      </c>
      <c r="K14" s="89"/>
      <c r="L14" s="39" t="s">
        <v>156</v>
      </c>
      <c r="M14" s="42"/>
    </row>
    <row r="15" spans="1:13">
      <c r="A15" s="39">
        <v>13</v>
      </c>
      <c r="B15" s="86" t="s">
        <v>134</v>
      </c>
      <c r="C15" s="86" t="s">
        <v>157</v>
      </c>
      <c r="D15" s="86" t="s">
        <v>158</v>
      </c>
      <c r="E15" s="86" t="s">
        <v>163</v>
      </c>
      <c r="F15" s="47"/>
      <c r="G15" s="39"/>
      <c r="H15" s="87"/>
      <c r="I15" s="86" t="s">
        <v>142</v>
      </c>
      <c r="J15" s="90">
        <v>9000</v>
      </c>
      <c r="K15" s="89"/>
      <c r="L15" s="39" t="s">
        <v>159</v>
      </c>
      <c r="M15" s="42"/>
    </row>
    <row r="16" spans="1:13">
      <c r="A16" s="39">
        <v>14</v>
      </c>
      <c r="B16" s="86" t="s">
        <v>137</v>
      </c>
      <c r="C16" s="86" t="s">
        <v>160</v>
      </c>
      <c r="D16" s="86" t="s">
        <v>158</v>
      </c>
      <c r="E16" s="86" t="s">
        <v>156</v>
      </c>
      <c r="F16" s="47"/>
      <c r="G16" s="39"/>
      <c r="H16" s="87"/>
      <c r="I16" s="86" t="s">
        <v>152</v>
      </c>
      <c r="J16" s="90">
        <v>9500</v>
      </c>
      <c r="K16" s="89"/>
      <c r="L16" s="39" t="s">
        <v>161</v>
      </c>
      <c r="M16" s="42"/>
    </row>
    <row r="17" spans="1:13">
      <c r="A17" s="39">
        <v>15</v>
      </c>
      <c r="B17" s="86" t="s">
        <v>140</v>
      </c>
      <c r="C17" s="86" t="s">
        <v>162</v>
      </c>
      <c r="D17" s="86" t="s">
        <v>158</v>
      </c>
      <c r="E17" s="86" t="s">
        <v>159</v>
      </c>
      <c r="F17" s="47"/>
      <c r="G17" s="39"/>
      <c r="H17" s="87"/>
      <c r="I17" s="86" t="s">
        <v>150</v>
      </c>
      <c r="J17" s="90">
        <v>8900</v>
      </c>
      <c r="K17" s="89"/>
      <c r="L17" s="39" t="s">
        <v>163</v>
      </c>
      <c r="M17" s="42"/>
    </row>
    <row r="18" spans="1:13">
      <c r="A18" s="39">
        <v>16</v>
      </c>
      <c r="B18" s="86" t="s">
        <v>143</v>
      </c>
      <c r="C18" s="86" t="s">
        <v>164</v>
      </c>
      <c r="D18" s="86" t="s">
        <v>165</v>
      </c>
      <c r="E18" s="86" t="s">
        <v>166</v>
      </c>
      <c r="F18" s="47"/>
      <c r="G18" s="39"/>
      <c r="H18" s="87"/>
      <c r="I18" s="86" t="s">
        <v>156</v>
      </c>
      <c r="J18" s="90">
        <v>12000</v>
      </c>
      <c r="K18" s="89"/>
      <c r="L18" s="39" t="s">
        <v>166</v>
      </c>
      <c r="M18" s="42"/>
    </row>
    <row r="19" spans="1:13">
      <c r="A19" s="39">
        <v>17</v>
      </c>
      <c r="B19" s="86" t="s">
        <v>145</v>
      </c>
      <c r="C19" s="86" t="s">
        <v>167</v>
      </c>
      <c r="D19" s="86" t="s">
        <v>165</v>
      </c>
      <c r="E19" s="86" t="s">
        <v>161</v>
      </c>
      <c r="F19" s="47"/>
      <c r="G19" s="39"/>
      <c r="H19" s="87"/>
      <c r="I19" s="86" t="s">
        <v>159</v>
      </c>
      <c r="J19" s="90">
        <v>9500</v>
      </c>
      <c r="K19" s="89"/>
      <c r="L19" s="34"/>
      <c r="M19" s="49"/>
    </row>
    <row r="20" spans="1:13">
      <c r="A20" s="39">
        <v>18</v>
      </c>
      <c r="B20" s="86" t="s">
        <v>147</v>
      </c>
      <c r="C20" s="86" t="s">
        <v>168</v>
      </c>
      <c r="D20" s="86" t="s">
        <v>165</v>
      </c>
      <c r="E20" s="86" t="s">
        <v>163</v>
      </c>
      <c r="F20" s="47"/>
      <c r="G20" s="39"/>
      <c r="H20" s="87"/>
      <c r="I20" s="86" t="s">
        <v>161</v>
      </c>
      <c r="J20" s="90">
        <v>11000</v>
      </c>
      <c r="K20" s="89"/>
      <c r="L20" s="34"/>
      <c r="M20" s="34"/>
    </row>
    <row r="21" spans="1:13">
      <c r="A21" s="39">
        <v>19</v>
      </c>
      <c r="B21" s="86" t="s">
        <v>124</v>
      </c>
      <c r="C21" s="86" t="s">
        <v>169</v>
      </c>
      <c r="D21" s="86" t="s">
        <v>165</v>
      </c>
      <c r="E21" s="86" t="s">
        <v>166</v>
      </c>
      <c r="F21" s="47"/>
      <c r="G21" s="39"/>
      <c r="H21" s="87"/>
      <c r="I21" s="86" t="s">
        <v>163</v>
      </c>
      <c r="J21" s="90">
        <v>9000</v>
      </c>
      <c r="K21" s="89"/>
      <c r="L21" s="34"/>
      <c r="M21" s="34"/>
    </row>
    <row r="22" spans="1:13">
      <c r="A22" s="39">
        <v>20</v>
      </c>
      <c r="B22" s="86" t="s">
        <v>129</v>
      </c>
      <c r="C22" s="86" t="s">
        <v>170</v>
      </c>
      <c r="D22" s="86" t="s">
        <v>165</v>
      </c>
      <c r="E22" s="86" t="s">
        <v>152</v>
      </c>
      <c r="F22" s="47"/>
      <c r="G22" s="39"/>
      <c r="H22" s="87"/>
      <c r="I22" s="86" t="s">
        <v>166</v>
      </c>
      <c r="J22" s="90">
        <v>8900</v>
      </c>
      <c r="K22" s="89"/>
      <c r="L22" s="34"/>
      <c r="M22" s="34"/>
    </row>
    <row r="23" spans="1:13">
      <c r="E23">
        <f>COUNTA(E3:E22)</f>
        <v>20</v>
      </c>
      <c r="F23" s="32">
        <f>SUM(F3:F22)</f>
        <v>0</v>
      </c>
    </row>
    <row r="24" spans="1:13" ht="21">
      <c r="B24" s="202" t="s">
        <v>2316</v>
      </c>
      <c r="F24" s="32"/>
    </row>
    <row r="25" spans="1:13" ht="3.45" customHeight="1"/>
    <row r="26" spans="1:13">
      <c r="B26" s="3"/>
      <c r="C26" s="86" t="s">
        <v>2311</v>
      </c>
      <c r="D26" s="86" t="s">
        <v>2312</v>
      </c>
      <c r="E26" s="86" t="s">
        <v>2313</v>
      </c>
      <c r="F26" s="86" t="s">
        <v>2314</v>
      </c>
    </row>
    <row r="27" spans="1:13">
      <c r="B27" s="3" t="s">
        <v>2308</v>
      </c>
      <c r="C27" s="3"/>
      <c r="D27" s="3"/>
      <c r="E27" s="3"/>
      <c r="F27" s="3"/>
    </row>
    <row r="28" spans="1:13">
      <c r="B28" s="3" t="s">
        <v>2310</v>
      </c>
      <c r="C28" s="3"/>
      <c r="D28" s="3"/>
      <c r="E28" s="3"/>
      <c r="F28" s="3"/>
    </row>
    <row r="29" spans="1:13">
      <c r="B29" s="3" t="s">
        <v>2309</v>
      </c>
      <c r="C29" s="3"/>
      <c r="D29" s="3"/>
      <c r="E29" s="3"/>
      <c r="F29" s="3"/>
    </row>
    <row r="30" spans="1:13">
      <c r="B30" s="3" t="s">
        <v>2315</v>
      </c>
      <c r="C30" s="3"/>
      <c r="D30" s="3"/>
      <c r="E30" s="3"/>
      <c r="F30" s="3"/>
    </row>
  </sheetData>
  <autoFilter ref="A2:M24" xr:uid="{00000000-0001-0000-0600-000000000000}"/>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5:M13"/>
  <sheetViews>
    <sheetView workbookViewId="0">
      <selection activeCell="K19" sqref="K19"/>
    </sheetView>
  </sheetViews>
  <sheetFormatPr defaultRowHeight="20.25" customHeight="1"/>
  <cols>
    <col min="1" max="1" width="15.09765625" customWidth="1"/>
    <col min="2" max="2" width="10.59765625" customWidth="1"/>
    <col min="3" max="5" width="9.59765625" customWidth="1"/>
    <col min="7" max="7" width="3.69921875" customWidth="1"/>
    <col min="8" max="8" width="6.5" customWidth="1"/>
    <col min="9" max="9" width="11" customWidth="1"/>
    <col min="10" max="10" width="18.59765625" customWidth="1"/>
    <col min="11" max="12" width="14.59765625" customWidth="1"/>
    <col min="13" max="13" width="13.19921875" customWidth="1"/>
  </cols>
  <sheetData>
    <row r="5" spans="1:13" ht="20.25" customHeight="1" thickBot="1">
      <c r="A5" s="3"/>
      <c r="B5" s="8" t="s">
        <v>22</v>
      </c>
      <c r="C5" s="8" t="s">
        <v>8</v>
      </c>
      <c r="D5" s="8" t="s">
        <v>23</v>
      </c>
      <c r="E5" s="110" t="s">
        <v>0</v>
      </c>
      <c r="I5" s="5" t="s">
        <v>8</v>
      </c>
      <c r="J5" t="s">
        <v>20</v>
      </c>
    </row>
    <row r="6" spans="1:13" ht="20.25" customHeight="1" thickBot="1">
      <c r="A6" s="15" t="s">
        <v>19</v>
      </c>
      <c r="B6" s="3">
        <v>4300</v>
      </c>
      <c r="C6" s="22">
        <v>4500</v>
      </c>
      <c r="D6" s="22">
        <v>4600</v>
      </c>
      <c r="E6" s="111">
        <v>4700</v>
      </c>
      <c r="J6" s="28">
        <v>44669</v>
      </c>
      <c r="K6" s="26" t="s">
        <v>5</v>
      </c>
      <c r="L6" s="18" t="s">
        <v>6</v>
      </c>
      <c r="M6" s="104" t="s">
        <v>7</v>
      </c>
    </row>
    <row r="7" spans="1:13" ht="20.25" customHeight="1">
      <c r="A7" s="15" t="s">
        <v>1</v>
      </c>
      <c r="B7" s="3">
        <v>4300</v>
      </c>
      <c r="C7" s="22">
        <v>3000</v>
      </c>
      <c r="D7" s="22">
        <v>4500</v>
      </c>
      <c r="E7" s="111">
        <v>3600</v>
      </c>
      <c r="J7" s="27" t="s">
        <v>18</v>
      </c>
      <c r="K7" s="19">
        <v>14</v>
      </c>
      <c r="L7" s="21"/>
      <c r="M7" s="115">
        <f>IF(L7=" "," ",K7*L7)</f>
        <v>0</v>
      </c>
    </row>
    <row r="8" spans="1:13" ht="20.25" customHeight="1">
      <c r="A8" s="15" t="s">
        <v>2</v>
      </c>
      <c r="B8" s="3">
        <v>4500</v>
      </c>
      <c r="C8" s="22">
        <v>4500</v>
      </c>
      <c r="D8" s="22">
        <v>4300</v>
      </c>
      <c r="E8" s="111">
        <v>2500</v>
      </c>
      <c r="J8" s="20" t="s">
        <v>9</v>
      </c>
      <c r="K8" s="19">
        <v>31</v>
      </c>
      <c r="L8" s="21"/>
      <c r="M8" s="115">
        <f t="shared" ref="M8:M12" si="0">IF(L8=" "," ",K8*L8)</f>
        <v>0</v>
      </c>
    </row>
    <row r="9" spans="1:13" ht="20.25" customHeight="1">
      <c r="A9" s="15" t="s">
        <v>4</v>
      </c>
      <c r="B9" s="3">
        <v>4500</v>
      </c>
      <c r="C9" s="22">
        <v>7000</v>
      </c>
      <c r="D9" s="22">
        <v>4300</v>
      </c>
      <c r="E9" s="111">
        <v>4500</v>
      </c>
      <c r="J9" s="20" t="s">
        <v>12</v>
      </c>
      <c r="K9" s="19">
        <v>23</v>
      </c>
      <c r="L9" s="21"/>
      <c r="M9" s="115">
        <f t="shared" si="0"/>
        <v>0</v>
      </c>
    </row>
    <row r="10" spans="1:13" ht="20.25" customHeight="1">
      <c r="A10" s="15" t="s">
        <v>2142</v>
      </c>
      <c r="B10" s="3">
        <v>3400</v>
      </c>
      <c r="C10" s="22">
        <v>7500</v>
      </c>
      <c r="D10" s="22">
        <v>3400</v>
      </c>
      <c r="E10" s="111">
        <v>3400</v>
      </c>
      <c r="J10" s="20" t="s">
        <v>2141</v>
      </c>
      <c r="K10" s="19">
        <v>12</v>
      </c>
      <c r="L10" s="21"/>
      <c r="M10" s="115">
        <f t="shared" si="0"/>
        <v>0</v>
      </c>
    </row>
    <row r="11" spans="1:13" ht="20.25" customHeight="1">
      <c r="A11" s="15" t="s">
        <v>2144</v>
      </c>
      <c r="B11" s="3">
        <v>2300</v>
      </c>
      <c r="C11" s="22">
        <v>4500</v>
      </c>
      <c r="D11" s="22">
        <v>4300</v>
      </c>
      <c r="E11" s="111">
        <v>2500</v>
      </c>
      <c r="J11" s="20" t="s">
        <v>2143</v>
      </c>
      <c r="K11" s="19">
        <v>13</v>
      </c>
      <c r="L11" s="21"/>
      <c r="M11" s="115">
        <f t="shared" si="0"/>
        <v>0</v>
      </c>
    </row>
    <row r="12" spans="1:13" ht="20.25" customHeight="1">
      <c r="A12" s="15" t="s">
        <v>2145</v>
      </c>
      <c r="B12" s="3">
        <v>6500</v>
      </c>
      <c r="C12" s="22">
        <v>7000</v>
      </c>
      <c r="D12" s="22">
        <v>4300</v>
      </c>
      <c r="E12" s="111">
        <v>6500</v>
      </c>
      <c r="J12" s="20" t="s">
        <v>2146</v>
      </c>
      <c r="K12" s="19">
        <v>21</v>
      </c>
      <c r="L12" s="21"/>
      <c r="M12" s="115">
        <f t="shared" si="0"/>
        <v>0</v>
      </c>
    </row>
    <row r="13" spans="1:13" ht="20.25" customHeight="1" thickBot="1">
      <c r="A13" s="112" t="s">
        <v>2147</v>
      </c>
      <c r="B13" s="31">
        <v>4900</v>
      </c>
      <c r="C13" s="113">
        <v>5700</v>
      </c>
      <c r="D13" s="113">
        <v>6700</v>
      </c>
      <c r="E13" s="114">
        <v>6300</v>
      </c>
      <c r="J13" s="116" t="s">
        <v>7</v>
      </c>
      <c r="K13" s="117"/>
      <c r="L13" s="117" t="s">
        <v>20</v>
      </c>
      <c r="M13" s="118">
        <f>SUM(M7:M12)</f>
        <v>0</v>
      </c>
    </row>
  </sheetData>
  <phoneticPr fontId="1" type="noConversion"/>
  <dataValidations count="2">
    <dataValidation type="list" allowBlank="1" showInputMessage="1" showErrorMessage="1" sqref="I5" xr:uid="{00000000-0002-0000-0700-000001000000}">
      <formula1>"봄,여름,가을,겨울"</formula1>
    </dataValidation>
    <dataValidation type="list" allowBlank="1" showInputMessage="1" showErrorMessage="1" sqref="J7:J12" xr:uid="{00000000-0002-0000-0700-000002000000}">
      <formula1>$A$6:$A$13</formula1>
    </dataValidation>
  </dataValidation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3:N10"/>
  <sheetViews>
    <sheetView workbookViewId="0">
      <selection activeCell="L16" sqref="L16"/>
    </sheetView>
  </sheetViews>
  <sheetFormatPr defaultRowHeight="17.399999999999999"/>
  <cols>
    <col min="2" max="2" width="14.5" customWidth="1"/>
    <col min="3" max="3" width="12.09765625" customWidth="1"/>
    <col min="4" max="4" width="8.5" customWidth="1"/>
    <col min="5" max="5" width="9.19921875" customWidth="1"/>
    <col min="6" max="6" width="9.09765625" customWidth="1"/>
    <col min="7" max="7" width="2.3984375" customWidth="1"/>
    <col min="8" max="8" width="3" customWidth="1"/>
    <col min="9" max="9" width="1.69921875" customWidth="1"/>
    <col min="10" max="10" width="11.59765625" customWidth="1"/>
    <col min="11" max="11" width="19.5" customWidth="1"/>
    <col min="12" max="12" width="8" customWidth="1"/>
    <col min="13" max="13" width="11.69921875" customWidth="1"/>
    <col min="14" max="14" width="13" customWidth="1"/>
    <col min="15" max="15" width="11.69921875" customWidth="1"/>
    <col min="16" max="16" width="14.69921875" customWidth="1"/>
    <col min="17" max="17" width="13.19921875" customWidth="1"/>
  </cols>
  <sheetData>
    <row r="3" spans="1:14" ht="24.75" customHeight="1">
      <c r="D3" s="17"/>
      <c r="J3" s="5" t="s">
        <v>21</v>
      </c>
      <c r="K3" t="s">
        <v>20</v>
      </c>
    </row>
    <row r="4" spans="1:14" ht="24.75" customHeight="1">
      <c r="A4" s="3"/>
      <c r="B4" s="15" t="s">
        <v>19</v>
      </c>
      <c r="C4" s="15" t="s">
        <v>1</v>
      </c>
      <c r="D4" s="15" t="s">
        <v>2</v>
      </c>
      <c r="E4" s="15" t="s">
        <v>3</v>
      </c>
      <c r="F4" s="16" t="s">
        <v>4</v>
      </c>
      <c r="J4" s="119">
        <v>44491</v>
      </c>
      <c r="K4" s="18"/>
      <c r="L4" s="18" t="s">
        <v>5</v>
      </c>
      <c r="M4" s="18" t="s">
        <v>6</v>
      </c>
      <c r="N4" s="104" t="s">
        <v>7</v>
      </c>
    </row>
    <row r="5" spans="1:14" ht="24.75" customHeight="1">
      <c r="A5" s="8" t="s">
        <v>22</v>
      </c>
      <c r="B5" s="6">
        <v>3900</v>
      </c>
      <c r="C5" s="6">
        <v>2500</v>
      </c>
      <c r="D5" s="6">
        <v>3000</v>
      </c>
      <c r="E5" s="6">
        <v>6500</v>
      </c>
      <c r="F5" s="11">
        <v>7000</v>
      </c>
      <c r="K5" s="2" t="s">
        <v>18</v>
      </c>
      <c r="L5" s="19">
        <v>4</v>
      </c>
      <c r="M5" s="19"/>
      <c r="N5" s="105">
        <f>L5*M5</f>
        <v>0</v>
      </c>
    </row>
    <row r="6" spans="1:14" ht="24.75" customHeight="1">
      <c r="A6" s="121" t="s">
        <v>8</v>
      </c>
      <c r="B6" s="6">
        <v>4500</v>
      </c>
      <c r="C6" s="6">
        <v>1500</v>
      </c>
      <c r="D6" s="6">
        <v>2200</v>
      </c>
      <c r="E6" s="6">
        <v>6000</v>
      </c>
      <c r="F6" s="11">
        <v>7200</v>
      </c>
      <c r="K6" s="2" t="s">
        <v>9</v>
      </c>
      <c r="L6" s="19">
        <v>3</v>
      </c>
      <c r="M6" s="19"/>
      <c r="N6" s="105">
        <f t="shared" ref="N6:N9" si="0">L6*M6</f>
        <v>0</v>
      </c>
    </row>
    <row r="7" spans="1:14" ht="24.75" customHeight="1">
      <c r="A7" s="121" t="s">
        <v>23</v>
      </c>
      <c r="B7" s="6">
        <v>4800</v>
      </c>
      <c r="C7" s="6">
        <v>2500</v>
      </c>
      <c r="D7" s="6">
        <v>3500</v>
      </c>
      <c r="E7" s="6">
        <v>5500</v>
      </c>
      <c r="F7" s="11">
        <v>7000</v>
      </c>
      <c r="K7" s="2" t="s">
        <v>12</v>
      </c>
      <c r="L7" s="19">
        <v>6</v>
      </c>
      <c r="M7" s="19"/>
      <c r="N7" s="105">
        <f t="shared" si="0"/>
        <v>0</v>
      </c>
    </row>
    <row r="8" spans="1:14" ht="24.75" customHeight="1" thickBot="1">
      <c r="A8" s="14" t="s">
        <v>0</v>
      </c>
      <c r="B8" s="12">
        <v>4500</v>
      </c>
      <c r="C8" s="12">
        <v>3000</v>
      </c>
      <c r="D8" s="12">
        <v>3000</v>
      </c>
      <c r="E8" s="12">
        <v>6000</v>
      </c>
      <c r="F8" s="13">
        <v>6500</v>
      </c>
      <c r="K8" s="2" t="s">
        <v>10</v>
      </c>
      <c r="L8" s="19">
        <v>4</v>
      </c>
      <c r="M8" s="19"/>
      <c r="N8" s="105">
        <f>L8*M8</f>
        <v>0</v>
      </c>
    </row>
    <row r="9" spans="1:14" ht="24.75" customHeight="1" thickTop="1">
      <c r="K9" s="2" t="s">
        <v>11</v>
      </c>
      <c r="L9" s="19">
        <v>12</v>
      </c>
      <c r="M9" s="19"/>
      <c r="N9" s="105">
        <f t="shared" si="0"/>
        <v>0</v>
      </c>
    </row>
    <row r="10" spans="1:14" ht="24.75" customHeight="1" thickBot="1">
      <c r="K10" s="106" t="s">
        <v>7</v>
      </c>
      <c r="L10" s="107"/>
      <c r="M10" s="108" t="s">
        <v>20</v>
      </c>
      <c r="N10" s="109">
        <f>SUM(N5:N9)</f>
        <v>0</v>
      </c>
    </row>
  </sheetData>
  <phoneticPr fontId="1" type="noConversion"/>
  <dataValidations count="3">
    <dataValidation type="list" allowBlank="1" showInputMessage="1" showErrorMessage="1" sqref="N27:N28" xr:uid="{00000000-0002-0000-0800-000000000000}">
      <formula1>$B$2:$I$2</formula1>
    </dataValidation>
    <dataValidation type="list" allowBlank="1" showInputMessage="1" showErrorMessage="1" sqref="J3" xr:uid="{00000000-0002-0000-0800-000001000000}">
      <formula1>"여름,겨울"</formula1>
    </dataValidation>
    <dataValidation type="list" allowBlank="1" showInputMessage="1" showErrorMessage="1" sqref="K13:K32 K5:K9" xr:uid="{00000000-0002-0000-0800-000002000000}">
      <formula1>$B$4:$F$4</formula1>
    </dataValidation>
  </dataValidation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H383"/>
  <sheetViews>
    <sheetView topLeftCell="E1" workbookViewId="0">
      <selection activeCell="G4" sqref="G4"/>
    </sheetView>
  </sheetViews>
  <sheetFormatPr defaultColWidth="8.69921875" defaultRowHeight="17.399999999999999"/>
  <cols>
    <col min="1" max="1" width="24.5" style="91" customWidth="1"/>
    <col min="2" max="2" width="8.69921875" style="91"/>
    <col min="3" max="3" width="36" style="91" customWidth="1"/>
    <col min="4" max="4" width="15.69921875" style="91" customWidth="1"/>
    <col min="5" max="5" width="43.8984375" style="91" customWidth="1"/>
    <col min="6" max="6" width="19" style="91" customWidth="1"/>
    <col min="7" max="7" width="21.3984375" style="91" customWidth="1"/>
    <col min="8" max="8" width="19.3984375" customWidth="1"/>
    <col min="9" max="16384" width="8.69921875" style="91"/>
  </cols>
  <sheetData>
    <row r="1" spans="1:8">
      <c r="A1" s="205" t="s">
        <v>1476</v>
      </c>
      <c r="B1" s="206" t="s">
        <v>1477</v>
      </c>
      <c r="C1" s="206" t="s">
        <v>1478</v>
      </c>
      <c r="D1" s="206" t="s">
        <v>1479</v>
      </c>
      <c r="E1" s="206" t="s">
        <v>1480</v>
      </c>
      <c r="F1" s="207" t="s">
        <v>1481</v>
      </c>
      <c r="G1" s="216" t="s">
        <v>2332</v>
      </c>
      <c r="H1" s="217" t="s">
        <v>2335</v>
      </c>
    </row>
    <row r="2" spans="1:8" ht="34.799999999999997">
      <c r="A2" s="208" t="s">
        <v>1482</v>
      </c>
      <c r="B2" s="209" t="s">
        <v>1483</v>
      </c>
      <c r="C2" s="210" t="s">
        <v>1484</v>
      </c>
      <c r="D2" s="209" t="s">
        <v>1485</v>
      </c>
      <c r="E2" s="223" t="s">
        <v>2339</v>
      </c>
      <c r="F2" s="211" t="s">
        <v>1487</v>
      </c>
      <c r="G2" s="91" t="s">
        <v>2336</v>
      </c>
    </row>
    <row r="3" spans="1:8">
      <c r="A3" s="208" t="s">
        <v>1488</v>
      </c>
      <c r="B3" s="209" t="s">
        <v>1489</v>
      </c>
      <c r="C3" s="210" t="s">
        <v>1490</v>
      </c>
      <c r="D3" s="209" t="s">
        <v>1491</v>
      </c>
      <c r="E3" s="210" t="s">
        <v>1492</v>
      </c>
      <c r="F3" s="211" t="s">
        <v>1493</v>
      </c>
    </row>
    <row r="4" spans="1:8">
      <c r="A4" s="208" t="s">
        <v>1494</v>
      </c>
      <c r="B4" s="209" t="s">
        <v>1495</v>
      </c>
      <c r="C4" s="210" t="s">
        <v>1496</v>
      </c>
      <c r="D4" s="209" t="s">
        <v>1497</v>
      </c>
      <c r="E4" s="210" t="s">
        <v>1498</v>
      </c>
      <c r="F4" s="211" t="s">
        <v>1499</v>
      </c>
      <c r="G4" s="91" t="s">
        <v>2333</v>
      </c>
    </row>
    <row r="5" spans="1:8">
      <c r="A5" s="208" t="s">
        <v>1500</v>
      </c>
      <c r="B5" s="209" t="s">
        <v>1501</v>
      </c>
      <c r="C5" s="210" t="s">
        <v>1502</v>
      </c>
      <c r="D5" s="209" t="s">
        <v>1503</v>
      </c>
      <c r="E5" s="210" t="s">
        <v>1504</v>
      </c>
      <c r="F5" s="211" t="s">
        <v>1505</v>
      </c>
    </row>
    <row r="6" spans="1:8">
      <c r="A6" s="208" t="s">
        <v>1506</v>
      </c>
      <c r="B6" s="209" t="s">
        <v>1507</v>
      </c>
      <c r="C6" s="210" t="s">
        <v>1508</v>
      </c>
      <c r="D6" s="209" t="s">
        <v>1509</v>
      </c>
      <c r="E6" s="210" t="s">
        <v>1510</v>
      </c>
      <c r="F6" s="211" t="s">
        <v>1511</v>
      </c>
    </row>
    <row r="7" spans="1:8">
      <c r="A7" s="208" t="s">
        <v>1512</v>
      </c>
      <c r="B7" s="209" t="s">
        <v>1513</v>
      </c>
      <c r="C7" s="210" t="s">
        <v>1514</v>
      </c>
      <c r="D7" s="209" t="s">
        <v>1515</v>
      </c>
      <c r="E7" s="210" t="s">
        <v>1516</v>
      </c>
      <c r="F7" s="211" t="s">
        <v>1517</v>
      </c>
    </row>
    <row r="8" spans="1:8">
      <c r="A8" s="208" t="s">
        <v>1518</v>
      </c>
      <c r="B8" s="209" t="s">
        <v>1519</v>
      </c>
      <c r="C8" s="210" t="s">
        <v>1520</v>
      </c>
      <c r="D8" s="209" t="s">
        <v>1521</v>
      </c>
      <c r="E8" s="210" t="s">
        <v>1522</v>
      </c>
      <c r="F8" s="211" t="s">
        <v>1523</v>
      </c>
    </row>
    <row r="9" spans="1:8">
      <c r="A9" s="208" t="s">
        <v>1524</v>
      </c>
      <c r="B9" s="209" t="s">
        <v>1525</v>
      </c>
      <c r="C9" s="210" t="s">
        <v>1526</v>
      </c>
      <c r="D9" s="209" t="s">
        <v>1527</v>
      </c>
      <c r="E9" s="210" t="s">
        <v>1528</v>
      </c>
      <c r="F9" s="211" t="s">
        <v>1529</v>
      </c>
    </row>
    <row r="10" spans="1:8">
      <c r="A10" s="208" t="s">
        <v>1530</v>
      </c>
      <c r="B10" s="209" t="s">
        <v>1531</v>
      </c>
      <c r="C10" s="210" t="s">
        <v>1532</v>
      </c>
      <c r="D10" s="209" t="s">
        <v>1533</v>
      </c>
      <c r="E10" s="210" t="s">
        <v>1534</v>
      </c>
      <c r="F10" s="211" t="s">
        <v>1535</v>
      </c>
    </row>
    <row r="11" spans="1:8">
      <c r="A11" s="208" t="s">
        <v>1536</v>
      </c>
      <c r="B11" s="209" t="s">
        <v>1537</v>
      </c>
      <c r="C11" s="210" t="s">
        <v>1538</v>
      </c>
      <c r="D11" s="209" t="s">
        <v>1539</v>
      </c>
      <c r="E11" s="210" t="s">
        <v>1540</v>
      </c>
      <c r="F11" s="211" t="s">
        <v>1541</v>
      </c>
    </row>
    <row r="12" spans="1:8">
      <c r="A12" s="208" t="s">
        <v>1542</v>
      </c>
      <c r="B12" s="209" t="s">
        <v>1543</v>
      </c>
      <c r="C12" s="210" t="s">
        <v>1544</v>
      </c>
      <c r="D12" s="209" t="s">
        <v>1545</v>
      </c>
      <c r="E12" s="210" t="s">
        <v>1546</v>
      </c>
      <c r="F12" s="211" t="s">
        <v>1547</v>
      </c>
    </row>
    <row r="13" spans="1:8">
      <c r="A13" s="208" t="s">
        <v>1548</v>
      </c>
      <c r="B13" s="209" t="s">
        <v>1549</v>
      </c>
      <c r="C13" s="210" t="s">
        <v>1550</v>
      </c>
      <c r="D13" s="209" t="s">
        <v>1551</v>
      </c>
      <c r="E13" s="210" t="s">
        <v>2334</v>
      </c>
      <c r="F13" s="211" t="s">
        <v>1553</v>
      </c>
    </row>
    <row r="14" spans="1:8">
      <c r="A14" s="208" t="s">
        <v>1554</v>
      </c>
      <c r="B14" s="209" t="s">
        <v>1555</v>
      </c>
      <c r="C14" s="210" t="s">
        <v>1556</v>
      </c>
      <c r="D14" s="209" t="s">
        <v>1557</v>
      </c>
      <c r="E14" s="210" t="s">
        <v>1558</v>
      </c>
      <c r="F14" s="211" t="s">
        <v>1559</v>
      </c>
    </row>
    <row r="15" spans="1:8">
      <c r="A15" s="208" t="s">
        <v>1560</v>
      </c>
      <c r="B15" s="209" t="s">
        <v>1561</v>
      </c>
      <c r="C15" s="210" t="s">
        <v>1562</v>
      </c>
      <c r="D15" s="209" t="s">
        <v>1563</v>
      </c>
      <c r="E15" s="210" t="s">
        <v>1564</v>
      </c>
      <c r="F15" s="211" t="s">
        <v>1565</v>
      </c>
    </row>
    <row r="16" spans="1:8">
      <c r="A16" s="208" t="s">
        <v>1566</v>
      </c>
      <c r="B16" s="209" t="s">
        <v>1567</v>
      </c>
      <c r="C16" s="210" t="s">
        <v>1568</v>
      </c>
      <c r="D16" s="209" t="s">
        <v>1569</v>
      </c>
      <c r="E16" s="210" t="s">
        <v>1570</v>
      </c>
      <c r="F16" s="211" t="s">
        <v>1571</v>
      </c>
    </row>
    <row r="17" spans="1:6">
      <c r="A17" s="208" t="s">
        <v>1572</v>
      </c>
      <c r="B17" s="209" t="s">
        <v>1573</v>
      </c>
      <c r="C17" s="210" t="s">
        <v>1574</v>
      </c>
      <c r="D17" s="209" t="s">
        <v>1575</v>
      </c>
      <c r="E17" s="210" t="s">
        <v>1576</v>
      </c>
      <c r="F17" s="211" t="s">
        <v>1577</v>
      </c>
    </row>
    <row r="18" spans="1:6">
      <c r="A18" s="208" t="s">
        <v>1578</v>
      </c>
      <c r="B18" s="209" t="s">
        <v>1579</v>
      </c>
      <c r="C18" s="210" t="s">
        <v>1580</v>
      </c>
      <c r="D18" s="209" t="s">
        <v>1581</v>
      </c>
      <c r="E18" s="210" t="s">
        <v>1582</v>
      </c>
      <c r="F18" s="211" t="s">
        <v>1583</v>
      </c>
    </row>
    <row r="19" spans="1:6">
      <c r="A19" s="208" t="s">
        <v>1584</v>
      </c>
      <c r="B19" s="209" t="s">
        <v>1585</v>
      </c>
      <c r="C19" s="210" t="s">
        <v>1586</v>
      </c>
      <c r="D19" s="209" t="s">
        <v>1587</v>
      </c>
      <c r="E19" s="210" t="s">
        <v>1588</v>
      </c>
      <c r="F19" s="211" t="s">
        <v>1589</v>
      </c>
    </row>
    <row r="20" spans="1:6">
      <c r="A20" s="208" t="s">
        <v>1590</v>
      </c>
      <c r="B20" s="209" t="s">
        <v>1591</v>
      </c>
      <c r="C20" s="210" t="s">
        <v>1592</v>
      </c>
      <c r="D20" s="209" t="s">
        <v>1593</v>
      </c>
      <c r="E20" s="210" t="s">
        <v>1594</v>
      </c>
      <c r="F20" s="211" t="s">
        <v>1595</v>
      </c>
    </row>
    <row r="21" spans="1:6">
      <c r="A21" s="208" t="s">
        <v>1596</v>
      </c>
      <c r="B21" s="209" t="s">
        <v>1597</v>
      </c>
      <c r="C21" s="210" t="s">
        <v>1598</v>
      </c>
      <c r="D21" s="209" t="s">
        <v>1599</v>
      </c>
      <c r="E21" s="210" t="s">
        <v>1600</v>
      </c>
      <c r="F21" s="211" t="s">
        <v>1601</v>
      </c>
    </row>
    <row r="22" spans="1:6">
      <c r="A22" s="208" t="s">
        <v>1602</v>
      </c>
      <c r="B22" s="209" t="s">
        <v>1603</v>
      </c>
      <c r="C22" s="210" t="s">
        <v>1604</v>
      </c>
      <c r="D22" s="209" t="s">
        <v>1605</v>
      </c>
      <c r="E22" s="210" t="s">
        <v>1606</v>
      </c>
      <c r="F22" s="211" t="s">
        <v>1607</v>
      </c>
    </row>
    <row r="23" spans="1:6">
      <c r="A23" s="208" t="s">
        <v>1608</v>
      </c>
      <c r="B23" s="209" t="s">
        <v>1609</v>
      </c>
      <c r="C23" s="210" t="s">
        <v>1610</v>
      </c>
      <c r="D23" s="209" t="s">
        <v>1611</v>
      </c>
      <c r="E23" s="210" t="s">
        <v>1612</v>
      </c>
      <c r="F23" s="211" t="s">
        <v>1613</v>
      </c>
    </row>
    <row r="24" spans="1:6">
      <c r="A24" s="208" t="s">
        <v>1614</v>
      </c>
      <c r="B24" s="209" t="s">
        <v>1615</v>
      </c>
      <c r="C24" s="210" t="s">
        <v>1616</v>
      </c>
      <c r="D24" s="209" t="s">
        <v>1617</v>
      </c>
      <c r="E24" s="210" t="s">
        <v>1618</v>
      </c>
      <c r="F24" s="211" t="s">
        <v>1619</v>
      </c>
    </row>
    <row r="25" spans="1:6">
      <c r="A25" s="208" t="s">
        <v>1620</v>
      </c>
      <c r="B25" s="209" t="s">
        <v>1621</v>
      </c>
      <c r="C25" s="210" t="s">
        <v>1622</v>
      </c>
      <c r="D25" s="209" t="s">
        <v>1623</v>
      </c>
      <c r="E25" s="210" t="s">
        <v>1624</v>
      </c>
      <c r="F25" s="211" t="s">
        <v>1625</v>
      </c>
    </row>
    <row r="26" spans="1:6">
      <c r="A26" s="208" t="s">
        <v>1626</v>
      </c>
      <c r="B26" s="209" t="s">
        <v>1627</v>
      </c>
      <c r="C26" s="210" t="s">
        <v>1628</v>
      </c>
      <c r="D26" s="209" t="s">
        <v>1629</v>
      </c>
      <c r="E26" s="210" t="s">
        <v>1630</v>
      </c>
      <c r="F26" s="211" t="s">
        <v>1631</v>
      </c>
    </row>
    <row r="27" spans="1:6">
      <c r="A27" s="208" t="s">
        <v>1632</v>
      </c>
      <c r="B27" s="209" t="s">
        <v>1633</v>
      </c>
      <c r="C27" s="210" t="s">
        <v>1634</v>
      </c>
      <c r="D27" s="209" t="s">
        <v>1635</v>
      </c>
      <c r="E27" s="210" t="s">
        <v>1636</v>
      </c>
      <c r="F27" s="211" t="s">
        <v>1637</v>
      </c>
    </row>
    <row r="28" spans="1:6">
      <c r="A28" s="208" t="s">
        <v>1638</v>
      </c>
      <c r="B28" s="209" t="s">
        <v>1639</v>
      </c>
      <c r="C28" s="210" t="s">
        <v>1640</v>
      </c>
      <c r="D28" s="209" t="s">
        <v>1641</v>
      </c>
      <c r="E28" s="210" t="s">
        <v>1642</v>
      </c>
      <c r="F28" s="211" t="s">
        <v>1643</v>
      </c>
    </row>
    <row r="29" spans="1:6">
      <c r="A29" s="208" t="s">
        <v>1644</v>
      </c>
      <c r="B29" s="209" t="s">
        <v>1645</v>
      </c>
      <c r="C29" s="210" t="s">
        <v>1646</v>
      </c>
      <c r="D29" s="209" t="s">
        <v>1647</v>
      </c>
      <c r="E29" s="210" t="s">
        <v>1648</v>
      </c>
      <c r="F29" s="211" t="s">
        <v>1649</v>
      </c>
    </row>
    <row r="30" spans="1:6">
      <c r="A30" s="208" t="s">
        <v>1650</v>
      </c>
      <c r="B30" s="209" t="s">
        <v>1651</v>
      </c>
      <c r="C30" s="210" t="s">
        <v>1652</v>
      </c>
      <c r="D30" s="209" t="s">
        <v>1653</v>
      </c>
      <c r="E30" s="210" t="s">
        <v>1654</v>
      </c>
      <c r="F30" s="211" t="s">
        <v>1655</v>
      </c>
    </row>
    <row r="31" spans="1:6">
      <c r="A31" s="208" t="s">
        <v>1656</v>
      </c>
      <c r="B31" s="209" t="s">
        <v>1657</v>
      </c>
      <c r="C31" s="210" t="s">
        <v>1658</v>
      </c>
      <c r="D31" s="209" t="s">
        <v>1659</v>
      </c>
      <c r="E31" s="210" t="s">
        <v>1660</v>
      </c>
      <c r="F31" s="211" t="s">
        <v>1661</v>
      </c>
    </row>
    <row r="32" spans="1:6">
      <c r="A32" s="208" t="s">
        <v>1662</v>
      </c>
      <c r="B32" s="209" t="s">
        <v>1663</v>
      </c>
      <c r="C32" s="210" t="s">
        <v>1664</v>
      </c>
      <c r="D32" s="209" t="s">
        <v>1665</v>
      </c>
      <c r="E32" s="210" t="s">
        <v>1666</v>
      </c>
      <c r="F32" s="211" t="s">
        <v>1667</v>
      </c>
    </row>
    <row r="33" spans="1:6">
      <c r="A33" s="208" t="s">
        <v>1668</v>
      </c>
      <c r="B33" s="209" t="s">
        <v>1669</v>
      </c>
      <c r="C33" s="210" t="s">
        <v>1670</v>
      </c>
      <c r="D33" s="209" t="s">
        <v>1671</v>
      </c>
      <c r="E33" s="210" t="s">
        <v>1672</v>
      </c>
      <c r="F33" s="211" t="s">
        <v>1673</v>
      </c>
    </row>
    <row r="34" spans="1:6">
      <c r="A34" s="208" t="s">
        <v>1674</v>
      </c>
      <c r="B34" s="209" t="s">
        <v>1675</v>
      </c>
      <c r="C34" s="210" t="s">
        <v>1676</v>
      </c>
      <c r="D34" s="209" t="s">
        <v>1677</v>
      </c>
      <c r="E34" s="210" t="s">
        <v>1678</v>
      </c>
      <c r="F34" s="211" t="s">
        <v>1679</v>
      </c>
    </row>
    <row r="35" spans="1:6">
      <c r="A35" s="208" t="s">
        <v>1680</v>
      </c>
      <c r="B35" s="209" t="s">
        <v>1681</v>
      </c>
      <c r="C35" s="210" t="s">
        <v>1682</v>
      </c>
      <c r="D35" s="209" t="s">
        <v>1683</v>
      </c>
      <c r="E35" s="210" t="s">
        <v>1684</v>
      </c>
      <c r="F35" s="211" t="s">
        <v>1685</v>
      </c>
    </row>
    <row r="36" spans="1:6">
      <c r="A36" s="208" t="s">
        <v>1686</v>
      </c>
      <c r="B36" s="209" t="s">
        <v>1687</v>
      </c>
      <c r="C36" s="210" t="s">
        <v>1688</v>
      </c>
      <c r="D36" s="209" t="s">
        <v>1689</v>
      </c>
      <c r="E36" s="210" t="s">
        <v>1690</v>
      </c>
      <c r="F36" s="211" t="s">
        <v>1691</v>
      </c>
    </row>
    <row r="37" spans="1:6">
      <c r="A37" s="208" t="s">
        <v>1692</v>
      </c>
      <c r="B37" s="209" t="s">
        <v>1693</v>
      </c>
      <c r="C37" s="210" t="s">
        <v>1694</v>
      </c>
      <c r="D37" s="209" t="s">
        <v>1695</v>
      </c>
      <c r="E37" s="210" t="s">
        <v>1696</v>
      </c>
      <c r="F37" s="211" t="s">
        <v>1697</v>
      </c>
    </row>
    <row r="38" spans="1:6">
      <c r="A38" s="208" t="s">
        <v>1698</v>
      </c>
      <c r="B38" s="209" t="s">
        <v>1699</v>
      </c>
      <c r="C38" s="210" t="s">
        <v>1700</v>
      </c>
      <c r="D38" s="209" t="s">
        <v>1701</v>
      </c>
      <c r="E38" s="210" t="s">
        <v>1702</v>
      </c>
      <c r="F38" s="211" t="s">
        <v>1703</v>
      </c>
    </row>
    <row r="39" spans="1:6">
      <c r="A39" s="208" t="s">
        <v>1704</v>
      </c>
      <c r="B39" s="209" t="s">
        <v>1705</v>
      </c>
      <c r="C39" s="210" t="s">
        <v>1706</v>
      </c>
      <c r="D39" s="209" t="s">
        <v>1707</v>
      </c>
      <c r="E39" s="210" t="s">
        <v>1708</v>
      </c>
      <c r="F39" s="211" t="s">
        <v>1709</v>
      </c>
    </row>
    <row r="40" spans="1:6">
      <c r="A40" s="208" t="s">
        <v>1710</v>
      </c>
      <c r="B40" s="209" t="s">
        <v>1711</v>
      </c>
      <c r="C40" s="210" t="s">
        <v>1712</v>
      </c>
      <c r="D40" s="209" t="s">
        <v>1713</v>
      </c>
      <c r="E40" s="210" t="s">
        <v>1714</v>
      </c>
      <c r="F40" s="211" t="s">
        <v>1715</v>
      </c>
    </row>
    <row r="41" spans="1:6">
      <c r="A41" s="208" t="s">
        <v>1716</v>
      </c>
      <c r="B41" s="209" t="s">
        <v>1717</v>
      </c>
      <c r="C41" s="210" t="s">
        <v>1718</v>
      </c>
      <c r="D41" s="209" t="s">
        <v>1719</v>
      </c>
      <c r="E41" s="210" t="s">
        <v>1720</v>
      </c>
      <c r="F41" s="211" t="s">
        <v>1721</v>
      </c>
    </row>
    <row r="42" spans="1:6">
      <c r="A42" s="208" t="s">
        <v>1722</v>
      </c>
      <c r="B42" s="209" t="s">
        <v>1723</v>
      </c>
      <c r="C42" s="210" t="s">
        <v>1724</v>
      </c>
      <c r="D42" s="209" t="s">
        <v>1725</v>
      </c>
      <c r="E42" s="210" t="s">
        <v>1726</v>
      </c>
      <c r="F42" s="211" t="s">
        <v>1727</v>
      </c>
    </row>
    <row r="43" spans="1:6">
      <c r="A43" s="208" t="s">
        <v>1728</v>
      </c>
      <c r="B43" s="209" t="s">
        <v>1729</v>
      </c>
      <c r="C43" s="210" t="s">
        <v>1730</v>
      </c>
      <c r="D43" s="209" t="s">
        <v>1731</v>
      </c>
      <c r="E43" s="210" t="s">
        <v>1732</v>
      </c>
      <c r="F43" s="211" t="s">
        <v>1733</v>
      </c>
    </row>
    <row r="44" spans="1:6">
      <c r="A44" s="208" t="s">
        <v>1734</v>
      </c>
      <c r="B44" s="209" t="s">
        <v>1735</v>
      </c>
      <c r="C44" s="210" t="s">
        <v>1736</v>
      </c>
      <c r="D44" s="209" t="s">
        <v>1737</v>
      </c>
      <c r="E44" s="210" t="s">
        <v>1738</v>
      </c>
      <c r="F44" s="211" t="s">
        <v>1739</v>
      </c>
    </row>
    <row r="45" spans="1:6">
      <c r="A45" s="208" t="s">
        <v>1740</v>
      </c>
      <c r="B45" s="209" t="s">
        <v>1741</v>
      </c>
      <c r="C45" s="210" t="s">
        <v>1742</v>
      </c>
      <c r="D45" s="209" t="s">
        <v>1743</v>
      </c>
      <c r="E45" s="210" t="s">
        <v>1744</v>
      </c>
      <c r="F45" s="211" t="s">
        <v>1745</v>
      </c>
    </row>
    <row r="46" spans="1:6">
      <c r="A46" s="208" t="s">
        <v>1746</v>
      </c>
      <c r="B46" s="209" t="s">
        <v>1747</v>
      </c>
      <c r="C46" s="210" t="s">
        <v>1748</v>
      </c>
      <c r="D46" s="209" t="s">
        <v>1749</v>
      </c>
      <c r="E46" s="210" t="s">
        <v>1750</v>
      </c>
      <c r="F46" s="211" t="s">
        <v>1751</v>
      </c>
    </row>
    <row r="47" spans="1:6">
      <c r="A47" s="208" t="s">
        <v>1752</v>
      </c>
      <c r="B47" s="209" t="s">
        <v>1753</v>
      </c>
      <c r="C47" s="210" t="s">
        <v>1754</v>
      </c>
      <c r="D47" s="209" t="s">
        <v>1755</v>
      </c>
      <c r="E47" s="210" t="s">
        <v>1756</v>
      </c>
      <c r="F47" s="211" t="s">
        <v>1757</v>
      </c>
    </row>
    <row r="48" spans="1:6">
      <c r="A48" s="208" t="s">
        <v>1758</v>
      </c>
      <c r="B48" s="209" t="s">
        <v>1759</v>
      </c>
      <c r="C48" s="210" t="s">
        <v>1760</v>
      </c>
      <c r="D48" s="209" t="s">
        <v>1761</v>
      </c>
      <c r="E48" s="210" t="s">
        <v>1762</v>
      </c>
      <c r="F48" s="211" t="s">
        <v>1763</v>
      </c>
    </row>
    <row r="49" spans="1:6">
      <c r="A49" s="208" t="s">
        <v>1764</v>
      </c>
      <c r="B49" s="209" t="s">
        <v>1765</v>
      </c>
      <c r="C49" s="210" t="s">
        <v>1766</v>
      </c>
      <c r="D49" s="209" t="s">
        <v>1767</v>
      </c>
      <c r="E49" s="210" t="s">
        <v>1768</v>
      </c>
      <c r="F49" s="211" t="s">
        <v>1769</v>
      </c>
    </row>
    <row r="50" spans="1:6">
      <c r="A50" s="208" t="s">
        <v>1770</v>
      </c>
      <c r="B50" s="209" t="s">
        <v>1771</v>
      </c>
      <c r="C50" s="210" t="s">
        <v>1772</v>
      </c>
      <c r="D50" s="209" t="s">
        <v>1773</v>
      </c>
      <c r="E50" s="210" t="s">
        <v>1774</v>
      </c>
      <c r="F50" s="211" t="s">
        <v>1775</v>
      </c>
    </row>
    <row r="51" spans="1:6">
      <c r="A51" s="208" t="s">
        <v>1776</v>
      </c>
      <c r="B51" s="209" t="s">
        <v>1777</v>
      </c>
      <c r="C51" s="210" t="s">
        <v>1778</v>
      </c>
      <c r="D51" s="209" t="s">
        <v>1779</v>
      </c>
      <c r="E51" s="210" t="s">
        <v>1780</v>
      </c>
      <c r="F51" s="211" t="s">
        <v>1781</v>
      </c>
    </row>
    <row r="52" spans="1:6">
      <c r="A52" s="208" t="s">
        <v>1782</v>
      </c>
      <c r="B52" s="209" t="s">
        <v>1783</v>
      </c>
      <c r="C52" s="210" t="s">
        <v>1784</v>
      </c>
      <c r="D52" s="209" t="s">
        <v>1785</v>
      </c>
      <c r="E52" s="210" t="s">
        <v>1786</v>
      </c>
      <c r="F52" s="211" t="s">
        <v>1787</v>
      </c>
    </row>
    <row r="53" spans="1:6">
      <c r="A53" s="208" t="s">
        <v>1788</v>
      </c>
      <c r="B53" s="209" t="s">
        <v>1789</v>
      </c>
      <c r="C53" s="210" t="s">
        <v>1790</v>
      </c>
      <c r="D53" s="209" t="s">
        <v>1791</v>
      </c>
      <c r="E53" s="210" t="s">
        <v>1792</v>
      </c>
      <c r="F53" s="211" t="s">
        <v>1793</v>
      </c>
    </row>
    <row r="54" spans="1:6">
      <c r="A54" s="208" t="s">
        <v>1794</v>
      </c>
      <c r="B54" s="209" t="s">
        <v>1795</v>
      </c>
      <c r="C54" s="210" t="s">
        <v>1796</v>
      </c>
      <c r="D54" s="209" t="s">
        <v>1797</v>
      </c>
      <c r="E54" s="210" t="s">
        <v>1798</v>
      </c>
      <c r="F54" s="211" t="s">
        <v>1799</v>
      </c>
    </row>
    <row r="55" spans="1:6">
      <c r="A55" s="208" t="s">
        <v>1800</v>
      </c>
      <c r="B55" s="209" t="s">
        <v>1801</v>
      </c>
      <c r="C55" s="210" t="s">
        <v>1802</v>
      </c>
      <c r="D55" s="209" t="s">
        <v>1803</v>
      </c>
      <c r="E55" s="210" t="s">
        <v>1528</v>
      </c>
      <c r="F55" s="211" t="s">
        <v>1804</v>
      </c>
    </row>
    <row r="56" spans="1:6">
      <c r="A56" s="208" t="s">
        <v>1805</v>
      </c>
      <c r="B56" s="209" t="s">
        <v>1806</v>
      </c>
      <c r="C56" s="210" t="s">
        <v>1807</v>
      </c>
      <c r="D56" s="209" t="s">
        <v>1808</v>
      </c>
      <c r="E56" s="210" t="s">
        <v>1809</v>
      </c>
      <c r="F56" s="211" t="s">
        <v>1810</v>
      </c>
    </row>
    <row r="57" spans="1:6">
      <c r="A57" s="208" t="s">
        <v>1811</v>
      </c>
      <c r="B57" s="209" t="s">
        <v>1812</v>
      </c>
      <c r="C57" s="210" t="s">
        <v>1813</v>
      </c>
      <c r="D57" s="209" t="s">
        <v>1814</v>
      </c>
      <c r="E57" s="210" t="s">
        <v>1815</v>
      </c>
      <c r="F57" s="211" t="s">
        <v>1816</v>
      </c>
    </row>
    <row r="58" spans="1:6">
      <c r="A58" s="208" t="s">
        <v>1817</v>
      </c>
      <c r="B58" s="209" t="s">
        <v>1818</v>
      </c>
      <c r="C58" s="210" t="s">
        <v>1819</v>
      </c>
      <c r="D58" s="209" t="s">
        <v>1820</v>
      </c>
      <c r="E58" s="210" t="s">
        <v>1821</v>
      </c>
      <c r="F58" s="211" t="s">
        <v>1822</v>
      </c>
    </row>
    <row r="59" spans="1:6">
      <c r="A59" s="208" t="s">
        <v>1823</v>
      </c>
      <c r="B59" s="209" t="s">
        <v>1824</v>
      </c>
      <c r="C59" s="210" t="s">
        <v>1825</v>
      </c>
      <c r="D59" s="209" t="s">
        <v>1826</v>
      </c>
      <c r="E59" s="210" t="s">
        <v>1827</v>
      </c>
      <c r="F59" s="211" t="s">
        <v>1828</v>
      </c>
    </row>
    <row r="60" spans="1:6">
      <c r="A60" s="208" t="s">
        <v>1829</v>
      </c>
      <c r="B60" s="209" t="s">
        <v>1830</v>
      </c>
      <c r="C60" s="210" t="s">
        <v>1831</v>
      </c>
      <c r="D60" s="209" t="s">
        <v>1832</v>
      </c>
      <c r="E60" s="210" t="s">
        <v>1636</v>
      </c>
      <c r="F60" s="211" t="s">
        <v>1833</v>
      </c>
    </row>
    <row r="61" spans="1:6">
      <c r="A61" s="208" t="s">
        <v>1834</v>
      </c>
      <c r="B61" s="209" t="s">
        <v>1835</v>
      </c>
      <c r="C61" s="210" t="s">
        <v>1836</v>
      </c>
      <c r="D61" s="209" t="s">
        <v>1837</v>
      </c>
      <c r="E61" s="210" t="s">
        <v>1838</v>
      </c>
      <c r="F61" s="211" t="s">
        <v>1839</v>
      </c>
    </row>
    <row r="62" spans="1:6">
      <c r="A62" s="208" t="s">
        <v>1840</v>
      </c>
      <c r="B62" s="209" t="s">
        <v>1841</v>
      </c>
      <c r="C62" s="210" t="s">
        <v>1842</v>
      </c>
      <c r="D62" s="209" t="s">
        <v>1843</v>
      </c>
      <c r="E62" s="210" t="s">
        <v>1844</v>
      </c>
      <c r="F62" s="211" t="s">
        <v>1845</v>
      </c>
    </row>
    <row r="63" spans="1:6">
      <c r="A63" s="208" t="s">
        <v>1846</v>
      </c>
      <c r="B63" s="209" t="s">
        <v>1847</v>
      </c>
      <c r="C63" s="210" t="s">
        <v>1848</v>
      </c>
      <c r="D63" s="209" t="s">
        <v>1849</v>
      </c>
      <c r="E63" s="210" t="s">
        <v>1850</v>
      </c>
      <c r="F63" s="211" t="s">
        <v>1851</v>
      </c>
    </row>
    <row r="64" spans="1:6">
      <c r="A64" s="208" t="s">
        <v>1852</v>
      </c>
      <c r="B64" s="209" t="s">
        <v>1853</v>
      </c>
      <c r="C64" s="210" t="s">
        <v>1854</v>
      </c>
      <c r="D64" s="209" t="s">
        <v>1855</v>
      </c>
      <c r="E64" s="210" t="s">
        <v>1856</v>
      </c>
      <c r="F64" s="211" t="s">
        <v>1857</v>
      </c>
    </row>
    <row r="65" spans="1:6">
      <c r="A65" s="208" t="s">
        <v>1858</v>
      </c>
      <c r="B65" s="209" t="s">
        <v>1859</v>
      </c>
      <c r="C65" s="210" t="s">
        <v>1860</v>
      </c>
      <c r="D65" s="209" t="s">
        <v>1861</v>
      </c>
      <c r="E65" s="210" t="s">
        <v>1862</v>
      </c>
      <c r="F65" s="211" t="s">
        <v>1863</v>
      </c>
    </row>
    <row r="66" spans="1:6">
      <c r="A66" s="208" t="s">
        <v>1864</v>
      </c>
      <c r="B66" s="209" t="s">
        <v>1865</v>
      </c>
      <c r="C66" s="210" t="s">
        <v>1866</v>
      </c>
      <c r="D66" s="209" t="s">
        <v>1867</v>
      </c>
      <c r="E66" s="210" t="s">
        <v>1868</v>
      </c>
      <c r="F66" s="211" t="s">
        <v>1869</v>
      </c>
    </row>
    <row r="67" spans="1:6">
      <c r="A67" s="208" t="s">
        <v>1870</v>
      </c>
      <c r="B67" s="209" t="s">
        <v>1871</v>
      </c>
      <c r="C67" s="210" t="s">
        <v>1872</v>
      </c>
      <c r="D67" s="209" t="s">
        <v>1873</v>
      </c>
      <c r="E67" s="210" t="s">
        <v>1874</v>
      </c>
      <c r="F67" s="211" t="s">
        <v>1875</v>
      </c>
    </row>
    <row r="68" spans="1:6">
      <c r="A68" s="208" t="s">
        <v>1876</v>
      </c>
      <c r="B68" s="209" t="s">
        <v>1877</v>
      </c>
      <c r="C68" s="210" t="s">
        <v>1878</v>
      </c>
      <c r="D68" s="209" t="s">
        <v>1879</v>
      </c>
      <c r="E68" s="210" t="s">
        <v>1880</v>
      </c>
      <c r="F68" s="211" t="s">
        <v>1881</v>
      </c>
    </row>
    <row r="69" spans="1:6">
      <c r="A69" s="208" t="s">
        <v>1882</v>
      </c>
      <c r="B69" s="209" t="s">
        <v>1883</v>
      </c>
      <c r="C69" s="210" t="s">
        <v>1884</v>
      </c>
      <c r="D69" s="209" t="s">
        <v>1885</v>
      </c>
      <c r="E69" s="210" t="s">
        <v>1886</v>
      </c>
      <c r="F69" s="211" t="s">
        <v>1887</v>
      </c>
    </row>
    <row r="70" spans="1:6">
      <c r="A70" s="208" t="s">
        <v>1888</v>
      </c>
      <c r="B70" s="209" t="s">
        <v>1889</v>
      </c>
      <c r="C70" s="210" t="s">
        <v>1890</v>
      </c>
      <c r="D70" s="209" t="s">
        <v>1891</v>
      </c>
      <c r="E70" s="210" t="s">
        <v>1892</v>
      </c>
      <c r="F70" s="211" t="s">
        <v>1893</v>
      </c>
    </row>
    <row r="71" spans="1:6">
      <c r="A71" s="208" t="s">
        <v>1894</v>
      </c>
      <c r="B71" s="209" t="s">
        <v>1895</v>
      </c>
      <c r="C71" s="210" t="s">
        <v>1896</v>
      </c>
      <c r="D71" s="209" t="s">
        <v>1897</v>
      </c>
      <c r="E71" s="210" t="s">
        <v>1898</v>
      </c>
      <c r="F71" s="211" t="s">
        <v>1899</v>
      </c>
    </row>
    <row r="72" spans="1:6">
      <c r="A72" s="208" t="s">
        <v>1900</v>
      </c>
      <c r="B72" s="209" t="s">
        <v>1901</v>
      </c>
      <c r="C72" s="210" t="s">
        <v>1902</v>
      </c>
      <c r="D72" s="209" t="s">
        <v>1903</v>
      </c>
      <c r="E72" s="210" t="s">
        <v>1904</v>
      </c>
      <c r="F72" s="211" t="s">
        <v>1905</v>
      </c>
    </row>
    <row r="73" spans="1:6">
      <c r="A73" s="208" t="s">
        <v>1906</v>
      </c>
      <c r="B73" s="209" t="s">
        <v>1907</v>
      </c>
      <c r="C73" s="210" t="s">
        <v>1908</v>
      </c>
      <c r="D73" s="209" t="s">
        <v>1909</v>
      </c>
      <c r="E73" s="210" t="s">
        <v>1910</v>
      </c>
      <c r="F73" s="211" t="s">
        <v>1911</v>
      </c>
    </row>
    <row r="74" spans="1:6">
      <c r="A74" s="208" t="s">
        <v>1912</v>
      </c>
      <c r="B74" s="209" t="s">
        <v>1913</v>
      </c>
      <c r="C74" s="210" t="s">
        <v>1914</v>
      </c>
      <c r="D74" s="209" t="s">
        <v>1915</v>
      </c>
      <c r="E74" s="210" t="s">
        <v>1678</v>
      </c>
      <c r="F74" s="211" t="s">
        <v>1916</v>
      </c>
    </row>
    <row r="75" spans="1:6">
      <c r="A75" s="208" t="s">
        <v>1917</v>
      </c>
      <c r="B75" s="209" t="s">
        <v>1918</v>
      </c>
      <c r="C75" s="210" t="s">
        <v>1919</v>
      </c>
      <c r="D75" s="209" t="s">
        <v>1920</v>
      </c>
      <c r="E75" s="210" t="s">
        <v>1921</v>
      </c>
      <c r="F75" s="211" t="s">
        <v>1922</v>
      </c>
    </row>
    <row r="76" spans="1:6">
      <c r="A76" s="208" t="s">
        <v>1923</v>
      </c>
      <c r="B76" s="209" t="s">
        <v>1924</v>
      </c>
      <c r="C76" s="210" t="s">
        <v>1925</v>
      </c>
      <c r="D76" s="209" t="s">
        <v>1926</v>
      </c>
      <c r="E76" s="210" t="s">
        <v>1927</v>
      </c>
      <c r="F76" s="211" t="s">
        <v>1928</v>
      </c>
    </row>
    <row r="77" spans="1:6">
      <c r="A77" s="208" t="s">
        <v>1929</v>
      </c>
      <c r="B77" s="209" t="s">
        <v>1930</v>
      </c>
      <c r="C77" s="210" t="s">
        <v>1931</v>
      </c>
      <c r="D77" s="209" t="s">
        <v>1932</v>
      </c>
      <c r="E77" s="210" t="s">
        <v>1933</v>
      </c>
      <c r="F77" s="211" t="s">
        <v>1934</v>
      </c>
    </row>
    <row r="78" spans="1:6">
      <c r="A78" s="208" t="s">
        <v>1935</v>
      </c>
      <c r="B78" s="209" t="s">
        <v>1936</v>
      </c>
      <c r="C78" s="210" t="s">
        <v>1937</v>
      </c>
      <c r="D78" s="209" t="s">
        <v>1938</v>
      </c>
      <c r="E78" s="210" t="s">
        <v>1939</v>
      </c>
      <c r="F78" s="211" t="s">
        <v>1940</v>
      </c>
    </row>
    <row r="79" spans="1:6">
      <c r="A79" s="208" t="s">
        <v>1941</v>
      </c>
      <c r="B79" s="209" t="s">
        <v>1942</v>
      </c>
      <c r="C79" s="210" t="s">
        <v>1943</v>
      </c>
      <c r="D79" s="209" t="s">
        <v>1944</v>
      </c>
      <c r="E79" s="210" t="s">
        <v>1945</v>
      </c>
      <c r="F79" s="211" t="s">
        <v>1946</v>
      </c>
    </row>
    <row r="80" spans="1:6">
      <c r="A80" s="208" t="s">
        <v>1947</v>
      </c>
      <c r="B80" s="209" t="s">
        <v>1948</v>
      </c>
      <c r="C80" s="210" t="s">
        <v>1949</v>
      </c>
      <c r="D80" s="209" t="s">
        <v>1950</v>
      </c>
      <c r="E80" s="210" t="s">
        <v>1951</v>
      </c>
      <c r="F80" s="211" t="s">
        <v>1952</v>
      </c>
    </row>
    <row r="81" spans="1:6">
      <c r="A81" s="208" t="s">
        <v>1953</v>
      </c>
      <c r="B81" s="209" t="s">
        <v>1954</v>
      </c>
      <c r="C81" s="210" t="s">
        <v>1955</v>
      </c>
      <c r="D81" s="209" t="s">
        <v>1956</v>
      </c>
      <c r="E81" s="210" t="s">
        <v>1957</v>
      </c>
      <c r="F81" s="211" t="s">
        <v>1958</v>
      </c>
    </row>
    <row r="82" spans="1:6">
      <c r="A82" s="208" t="s">
        <v>1959</v>
      </c>
      <c r="B82" s="209" t="s">
        <v>1960</v>
      </c>
      <c r="C82" s="210" t="s">
        <v>1961</v>
      </c>
      <c r="D82" s="209" t="s">
        <v>1962</v>
      </c>
      <c r="E82" s="210" t="s">
        <v>1963</v>
      </c>
      <c r="F82" s="211" t="s">
        <v>1964</v>
      </c>
    </row>
    <row r="83" spans="1:6">
      <c r="A83" s="208" t="s">
        <v>1965</v>
      </c>
      <c r="B83" s="209" t="s">
        <v>1966</v>
      </c>
      <c r="C83" s="210" t="s">
        <v>1967</v>
      </c>
      <c r="D83" s="209" t="s">
        <v>1968</v>
      </c>
      <c r="E83" s="210" t="s">
        <v>1969</v>
      </c>
      <c r="F83" s="211" t="s">
        <v>1970</v>
      </c>
    </row>
    <row r="84" spans="1:6">
      <c r="A84" s="208" t="s">
        <v>1971</v>
      </c>
      <c r="B84" s="209" t="s">
        <v>1972</v>
      </c>
      <c r="C84" s="210" t="s">
        <v>1973</v>
      </c>
      <c r="D84" s="209" t="s">
        <v>1974</v>
      </c>
      <c r="E84" s="210" t="s">
        <v>1975</v>
      </c>
      <c r="F84" s="211" t="s">
        <v>1976</v>
      </c>
    </row>
    <row r="85" spans="1:6">
      <c r="A85" s="208" t="s">
        <v>1977</v>
      </c>
      <c r="B85" s="209" t="s">
        <v>1978</v>
      </c>
      <c r="C85" s="210" t="s">
        <v>1979</v>
      </c>
      <c r="D85" s="209" t="s">
        <v>1980</v>
      </c>
      <c r="E85" s="210" t="s">
        <v>1981</v>
      </c>
      <c r="F85" s="211" t="s">
        <v>1982</v>
      </c>
    </row>
    <row r="86" spans="1:6">
      <c r="A86" s="208" t="s">
        <v>1983</v>
      </c>
      <c r="B86" s="209" t="s">
        <v>1984</v>
      </c>
      <c r="C86" s="210" t="s">
        <v>1985</v>
      </c>
      <c r="D86" s="209" t="s">
        <v>1986</v>
      </c>
      <c r="E86" s="210" t="s">
        <v>1987</v>
      </c>
      <c r="F86" s="211" t="s">
        <v>1988</v>
      </c>
    </row>
    <row r="87" spans="1:6">
      <c r="A87" s="208" t="s">
        <v>1989</v>
      </c>
      <c r="B87" s="209" t="s">
        <v>1990</v>
      </c>
      <c r="C87" s="210" t="s">
        <v>1991</v>
      </c>
      <c r="D87" s="209" t="s">
        <v>1992</v>
      </c>
      <c r="E87" s="210" t="s">
        <v>1993</v>
      </c>
      <c r="F87" s="211" t="s">
        <v>1994</v>
      </c>
    </row>
    <row r="88" spans="1:6">
      <c r="A88" s="208" t="s">
        <v>1995</v>
      </c>
      <c r="B88" s="209" t="s">
        <v>1996</v>
      </c>
      <c r="C88" s="210" t="s">
        <v>1997</v>
      </c>
      <c r="D88" s="209" t="s">
        <v>1998</v>
      </c>
      <c r="E88" s="210" t="s">
        <v>1999</v>
      </c>
      <c r="F88" s="211" t="s">
        <v>2000</v>
      </c>
    </row>
    <row r="89" spans="1:6">
      <c r="A89" s="208" t="s">
        <v>2001</v>
      </c>
      <c r="B89" s="209" t="s">
        <v>2002</v>
      </c>
      <c r="C89" s="210" t="s">
        <v>2003</v>
      </c>
      <c r="D89" s="209" t="s">
        <v>2004</v>
      </c>
      <c r="E89" s="210" t="s">
        <v>2005</v>
      </c>
      <c r="F89" s="211" t="s">
        <v>2006</v>
      </c>
    </row>
    <row r="90" spans="1:6">
      <c r="A90" s="208" t="s">
        <v>2007</v>
      </c>
      <c r="B90" s="209" t="s">
        <v>2008</v>
      </c>
      <c r="C90" s="210" t="s">
        <v>2009</v>
      </c>
      <c r="D90" s="209" t="s">
        <v>2010</v>
      </c>
      <c r="E90" s="210" t="s">
        <v>1750</v>
      </c>
      <c r="F90" s="211" t="s">
        <v>2011</v>
      </c>
    </row>
    <row r="91" spans="1:6">
      <c r="A91" s="208" t="s">
        <v>2012</v>
      </c>
      <c r="B91" s="209" t="s">
        <v>2013</v>
      </c>
      <c r="C91" s="210" t="s">
        <v>2014</v>
      </c>
      <c r="D91" s="209" t="s">
        <v>2015</v>
      </c>
      <c r="E91" s="210" t="s">
        <v>2016</v>
      </c>
      <c r="F91" s="211" t="s">
        <v>2017</v>
      </c>
    </row>
    <row r="92" spans="1:6">
      <c r="A92" s="208" t="s">
        <v>2018</v>
      </c>
      <c r="B92" s="209" t="s">
        <v>2019</v>
      </c>
      <c r="C92" s="210" t="s">
        <v>2020</v>
      </c>
      <c r="D92" s="209" t="s">
        <v>2021</v>
      </c>
      <c r="E92" s="210" t="s">
        <v>2022</v>
      </c>
      <c r="F92" s="211" t="s">
        <v>2023</v>
      </c>
    </row>
    <row r="93" spans="1:6">
      <c r="A93" s="208" t="s">
        <v>2024</v>
      </c>
      <c r="B93" s="209" t="s">
        <v>2025</v>
      </c>
      <c r="C93" s="210" t="s">
        <v>2026</v>
      </c>
      <c r="D93" s="209" t="s">
        <v>2027</v>
      </c>
      <c r="E93" s="210" t="s">
        <v>2028</v>
      </c>
      <c r="F93" s="211" t="s">
        <v>2029</v>
      </c>
    </row>
    <row r="94" spans="1:6">
      <c r="A94" s="208" t="s">
        <v>2030</v>
      </c>
      <c r="B94" s="209" t="s">
        <v>2031</v>
      </c>
      <c r="C94" s="210" t="s">
        <v>2032</v>
      </c>
      <c r="D94" s="209" t="s">
        <v>2033</v>
      </c>
      <c r="E94" s="210" t="s">
        <v>2034</v>
      </c>
      <c r="F94" s="211" t="s">
        <v>2035</v>
      </c>
    </row>
    <row r="95" spans="1:6">
      <c r="A95" s="208" t="s">
        <v>2036</v>
      </c>
      <c r="B95" s="209" t="s">
        <v>2037</v>
      </c>
      <c r="C95" s="210" t="s">
        <v>2038</v>
      </c>
      <c r="D95" s="209" t="s">
        <v>2039</v>
      </c>
      <c r="E95" s="210" t="s">
        <v>2040</v>
      </c>
      <c r="F95" s="211" t="s">
        <v>2041</v>
      </c>
    </row>
    <row r="96" spans="1:6">
      <c r="A96" s="208" t="s">
        <v>2042</v>
      </c>
      <c r="B96" s="209" t="s">
        <v>2043</v>
      </c>
      <c r="C96" s="210" t="s">
        <v>2044</v>
      </c>
      <c r="D96" s="209" t="s">
        <v>2045</v>
      </c>
      <c r="E96" s="210" t="s">
        <v>2046</v>
      </c>
      <c r="F96" s="211" t="s">
        <v>2047</v>
      </c>
    </row>
    <row r="97" spans="1:6">
      <c r="A97" s="208" t="s">
        <v>2048</v>
      </c>
      <c r="B97" s="209" t="s">
        <v>2049</v>
      </c>
      <c r="C97" s="210" t="s">
        <v>2050</v>
      </c>
      <c r="D97" s="209" t="s">
        <v>2051</v>
      </c>
      <c r="E97" s="210" t="s">
        <v>2052</v>
      </c>
      <c r="F97" s="211" t="s">
        <v>2053</v>
      </c>
    </row>
    <row r="98" spans="1:6">
      <c r="A98" s="212" t="s">
        <v>2054</v>
      </c>
      <c r="B98" s="213" t="s">
        <v>2055</v>
      </c>
      <c r="C98" s="214" t="s">
        <v>2056</v>
      </c>
      <c r="D98" s="213" t="s">
        <v>2057</v>
      </c>
      <c r="E98" s="214" t="s">
        <v>2058</v>
      </c>
      <c r="F98" s="215" t="s">
        <v>2059</v>
      </c>
    </row>
    <row r="99" spans="1:6">
      <c r="A99" s="208" t="s">
        <v>1494</v>
      </c>
      <c r="B99" s="209" t="s">
        <v>1495</v>
      </c>
      <c r="C99" s="210" t="s">
        <v>1496</v>
      </c>
      <c r="D99" s="209" t="s">
        <v>1497</v>
      </c>
      <c r="E99" s="210" t="s">
        <v>1498</v>
      </c>
      <c r="F99" s="211" t="s">
        <v>1499</v>
      </c>
    </row>
    <row r="100" spans="1:6">
      <c r="A100" s="208" t="s">
        <v>1500</v>
      </c>
      <c r="B100" s="209" t="s">
        <v>1501</v>
      </c>
      <c r="C100" s="210" t="s">
        <v>1502</v>
      </c>
      <c r="D100" s="209" t="s">
        <v>1503</v>
      </c>
      <c r="E100" s="210" t="s">
        <v>1504</v>
      </c>
      <c r="F100" s="211" t="s">
        <v>1505</v>
      </c>
    </row>
    <row r="101" spans="1:6">
      <c r="A101" s="208" t="s">
        <v>1506</v>
      </c>
      <c r="B101" s="209" t="s">
        <v>1507</v>
      </c>
      <c r="C101" s="210" t="s">
        <v>1508</v>
      </c>
      <c r="D101" s="209" t="s">
        <v>1509</v>
      </c>
      <c r="E101" s="210" t="s">
        <v>1510</v>
      </c>
      <c r="F101" s="211" t="s">
        <v>1511</v>
      </c>
    </row>
    <row r="102" spans="1:6">
      <c r="A102" s="208" t="s">
        <v>1512</v>
      </c>
      <c r="B102" s="209" t="s">
        <v>1513</v>
      </c>
      <c r="C102" s="210" t="s">
        <v>1514</v>
      </c>
      <c r="D102" s="209" t="s">
        <v>1515</v>
      </c>
      <c r="E102" s="210" t="s">
        <v>1516</v>
      </c>
      <c r="F102" s="211" t="s">
        <v>1517</v>
      </c>
    </row>
    <row r="103" spans="1:6">
      <c r="A103" s="208" t="s">
        <v>1518</v>
      </c>
      <c r="B103" s="209" t="s">
        <v>1519</v>
      </c>
      <c r="C103" s="210" t="s">
        <v>1520</v>
      </c>
      <c r="D103" s="209" t="s">
        <v>1521</v>
      </c>
      <c r="E103" s="210" t="s">
        <v>1522</v>
      </c>
      <c r="F103" s="211" t="s">
        <v>1523</v>
      </c>
    </row>
    <row r="104" spans="1:6">
      <c r="A104" s="208" t="s">
        <v>1524</v>
      </c>
      <c r="B104" s="209" t="s">
        <v>1525</v>
      </c>
      <c r="C104" s="210" t="s">
        <v>1526</v>
      </c>
      <c r="D104" s="209" t="s">
        <v>1527</v>
      </c>
      <c r="E104" s="210" t="s">
        <v>1528</v>
      </c>
      <c r="F104" s="211" t="s">
        <v>1529</v>
      </c>
    </row>
    <row r="105" spans="1:6">
      <c r="A105" s="208" t="s">
        <v>1530</v>
      </c>
      <c r="B105" s="209" t="s">
        <v>1531</v>
      </c>
      <c r="C105" s="210" t="s">
        <v>1532</v>
      </c>
      <c r="D105" s="209" t="s">
        <v>1533</v>
      </c>
      <c r="E105" s="210" t="s">
        <v>1534</v>
      </c>
      <c r="F105" s="211" t="s">
        <v>1535</v>
      </c>
    </row>
    <row r="106" spans="1:6">
      <c r="A106" s="208" t="s">
        <v>1536</v>
      </c>
      <c r="B106" s="209" t="s">
        <v>1537</v>
      </c>
      <c r="C106" s="210" t="s">
        <v>1538</v>
      </c>
      <c r="D106" s="209" t="s">
        <v>1539</v>
      </c>
      <c r="E106" s="210" t="s">
        <v>1540</v>
      </c>
      <c r="F106" s="211" t="s">
        <v>1541</v>
      </c>
    </row>
    <row r="107" spans="1:6">
      <c r="A107" s="208" t="s">
        <v>1542</v>
      </c>
      <c r="B107" s="209" t="s">
        <v>1543</v>
      </c>
      <c r="C107" s="210" t="s">
        <v>1544</v>
      </c>
      <c r="D107" s="209" t="s">
        <v>1545</v>
      </c>
      <c r="E107" s="210" t="s">
        <v>1546</v>
      </c>
      <c r="F107" s="211" t="s">
        <v>1547</v>
      </c>
    </row>
    <row r="108" spans="1:6">
      <c r="A108" s="208" t="s">
        <v>1548</v>
      </c>
      <c r="B108" s="209" t="s">
        <v>1549</v>
      </c>
      <c r="C108" s="210" t="s">
        <v>1550</v>
      </c>
      <c r="D108" s="209" t="s">
        <v>1551</v>
      </c>
      <c r="E108" s="210" t="s">
        <v>1552</v>
      </c>
      <c r="F108" s="211" t="s">
        <v>1553</v>
      </c>
    </row>
    <row r="109" spans="1:6">
      <c r="A109" s="208" t="s">
        <v>1554</v>
      </c>
      <c r="B109" s="209" t="s">
        <v>1555</v>
      </c>
      <c r="C109" s="210" t="s">
        <v>1556</v>
      </c>
      <c r="D109" s="209" t="s">
        <v>1557</v>
      </c>
      <c r="E109" s="210" t="s">
        <v>1558</v>
      </c>
      <c r="F109" s="211" t="s">
        <v>1559</v>
      </c>
    </row>
    <row r="110" spans="1:6">
      <c r="A110" s="208" t="s">
        <v>1560</v>
      </c>
      <c r="B110" s="209" t="s">
        <v>1561</v>
      </c>
      <c r="C110" s="210" t="s">
        <v>1562</v>
      </c>
      <c r="D110" s="209" t="s">
        <v>1563</v>
      </c>
      <c r="E110" s="210" t="s">
        <v>1564</v>
      </c>
      <c r="F110" s="211" t="s">
        <v>1565</v>
      </c>
    </row>
    <row r="111" spans="1:6">
      <c r="A111" s="208" t="s">
        <v>1566</v>
      </c>
      <c r="B111" s="209" t="s">
        <v>1567</v>
      </c>
      <c r="C111" s="210" t="s">
        <v>1568</v>
      </c>
      <c r="D111" s="209" t="s">
        <v>1569</v>
      </c>
      <c r="E111" s="210" t="s">
        <v>1570</v>
      </c>
      <c r="F111" s="211" t="s">
        <v>1571</v>
      </c>
    </row>
    <row r="112" spans="1:6">
      <c r="A112" s="208" t="s">
        <v>1572</v>
      </c>
      <c r="B112" s="209" t="s">
        <v>1573</v>
      </c>
      <c r="C112" s="210" t="s">
        <v>1574</v>
      </c>
      <c r="D112" s="209" t="s">
        <v>1575</v>
      </c>
      <c r="E112" s="210" t="s">
        <v>1576</v>
      </c>
      <c r="F112" s="211" t="s">
        <v>1577</v>
      </c>
    </row>
    <row r="113" spans="1:6">
      <c r="A113" s="208" t="s">
        <v>1578</v>
      </c>
      <c r="B113" s="209" t="s">
        <v>1579</v>
      </c>
      <c r="C113" s="210" t="s">
        <v>1580</v>
      </c>
      <c r="D113" s="209" t="s">
        <v>1581</v>
      </c>
      <c r="E113" s="210" t="s">
        <v>1582</v>
      </c>
      <c r="F113" s="211" t="s">
        <v>1583</v>
      </c>
    </row>
    <row r="114" spans="1:6">
      <c r="A114" s="208" t="s">
        <v>1584</v>
      </c>
      <c r="B114" s="209" t="s">
        <v>1585</v>
      </c>
      <c r="C114" s="210" t="s">
        <v>1586</v>
      </c>
      <c r="D114" s="209" t="s">
        <v>1587</v>
      </c>
      <c r="E114" s="210" t="s">
        <v>1588</v>
      </c>
      <c r="F114" s="211" t="s">
        <v>1589</v>
      </c>
    </row>
    <row r="115" spans="1:6">
      <c r="A115" s="208" t="s">
        <v>1590</v>
      </c>
      <c r="B115" s="209" t="s">
        <v>1591</v>
      </c>
      <c r="C115" s="210" t="s">
        <v>1592</v>
      </c>
      <c r="D115" s="209" t="s">
        <v>1593</v>
      </c>
      <c r="E115" s="210" t="s">
        <v>1594</v>
      </c>
      <c r="F115" s="211" t="s">
        <v>1595</v>
      </c>
    </row>
    <row r="116" spans="1:6">
      <c r="A116" s="208" t="s">
        <v>1596</v>
      </c>
      <c r="B116" s="209" t="s">
        <v>1597</v>
      </c>
      <c r="C116" s="210" t="s">
        <v>1598</v>
      </c>
      <c r="D116" s="209" t="s">
        <v>1599</v>
      </c>
      <c r="E116" s="210" t="s">
        <v>1600</v>
      </c>
      <c r="F116" s="211" t="s">
        <v>1601</v>
      </c>
    </row>
    <row r="117" spans="1:6">
      <c r="A117" s="208" t="s">
        <v>1602</v>
      </c>
      <c r="B117" s="209" t="s">
        <v>1603</v>
      </c>
      <c r="C117" s="210" t="s">
        <v>1604</v>
      </c>
      <c r="D117" s="209" t="s">
        <v>1605</v>
      </c>
      <c r="E117" s="210" t="s">
        <v>1606</v>
      </c>
      <c r="F117" s="211" t="s">
        <v>1607</v>
      </c>
    </row>
    <row r="118" spans="1:6">
      <c r="A118" s="208" t="s">
        <v>1608</v>
      </c>
      <c r="B118" s="209" t="s">
        <v>1609</v>
      </c>
      <c r="C118" s="210" t="s">
        <v>1610</v>
      </c>
      <c r="D118" s="209" t="s">
        <v>1611</v>
      </c>
      <c r="E118" s="210" t="s">
        <v>1612</v>
      </c>
      <c r="F118" s="211" t="s">
        <v>1613</v>
      </c>
    </row>
    <row r="119" spans="1:6">
      <c r="A119" s="208" t="s">
        <v>1614</v>
      </c>
      <c r="B119" s="209" t="s">
        <v>1615</v>
      </c>
      <c r="C119" s="210" t="s">
        <v>1616</v>
      </c>
      <c r="D119" s="209" t="s">
        <v>1617</v>
      </c>
      <c r="E119" s="210" t="s">
        <v>1618</v>
      </c>
      <c r="F119" s="211" t="s">
        <v>1619</v>
      </c>
    </row>
    <row r="120" spans="1:6">
      <c r="A120" s="208" t="s">
        <v>1620</v>
      </c>
      <c r="B120" s="209" t="s">
        <v>1621</v>
      </c>
      <c r="C120" s="210" t="s">
        <v>1622</v>
      </c>
      <c r="D120" s="209" t="s">
        <v>1623</v>
      </c>
      <c r="E120" s="210" t="s">
        <v>1624</v>
      </c>
      <c r="F120" s="211" t="s">
        <v>1625</v>
      </c>
    </row>
    <row r="121" spans="1:6">
      <c r="A121" s="208" t="s">
        <v>1626</v>
      </c>
      <c r="B121" s="209" t="s">
        <v>1627</v>
      </c>
      <c r="C121" s="210" t="s">
        <v>1628</v>
      </c>
      <c r="D121" s="209" t="s">
        <v>1629</v>
      </c>
      <c r="E121" s="210" t="s">
        <v>1630</v>
      </c>
      <c r="F121" s="211" t="s">
        <v>1631</v>
      </c>
    </row>
    <row r="122" spans="1:6">
      <c r="A122" s="208" t="s">
        <v>1632</v>
      </c>
      <c r="B122" s="209" t="s">
        <v>1633</v>
      </c>
      <c r="C122" s="210" t="s">
        <v>1634</v>
      </c>
      <c r="D122" s="209" t="s">
        <v>1635</v>
      </c>
      <c r="E122" s="210" t="s">
        <v>1636</v>
      </c>
      <c r="F122" s="211" t="s">
        <v>1637</v>
      </c>
    </row>
    <row r="123" spans="1:6">
      <c r="A123" s="208" t="s">
        <v>1638</v>
      </c>
      <c r="B123" s="209" t="s">
        <v>1639</v>
      </c>
      <c r="C123" s="210" t="s">
        <v>1640</v>
      </c>
      <c r="D123" s="209" t="s">
        <v>1641</v>
      </c>
      <c r="E123" s="210" t="s">
        <v>1642</v>
      </c>
      <c r="F123" s="211" t="s">
        <v>1643</v>
      </c>
    </row>
    <row r="124" spans="1:6">
      <c r="A124" s="208" t="s">
        <v>1644</v>
      </c>
      <c r="B124" s="209" t="s">
        <v>1645</v>
      </c>
      <c r="C124" s="210" t="s">
        <v>1646</v>
      </c>
      <c r="D124" s="209" t="s">
        <v>1647</v>
      </c>
      <c r="E124" s="210" t="s">
        <v>1648</v>
      </c>
      <c r="F124" s="211" t="s">
        <v>1649</v>
      </c>
    </row>
    <row r="125" spans="1:6">
      <c r="A125" s="208" t="s">
        <v>1650</v>
      </c>
      <c r="B125" s="209" t="s">
        <v>1651</v>
      </c>
      <c r="C125" s="210" t="s">
        <v>1652</v>
      </c>
      <c r="D125" s="209" t="s">
        <v>1653</v>
      </c>
      <c r="E125" s="210" t="s">
        <v>1654</v>
      </c>
      <c r="F125" s="211" t="s">
        <v>1655</v>
      </c>
    </row>
    <row r="126" spans="1:6">
      <c r="A126" s="208" t="s">
        <v>1656</v>
      </c>
      <c r="B126" s="209" t="s">
        <v>1657</v>
      </c>
      <c r="C126" s="210" t="s">
        <v>1658</v>
      </c>
      <c r="D126" s="209" t="s">
        <v>1659</v>
      </c>
      <c r="E126" s="210" t="s">
        <v>1660</v>
      </c>
      <c r="F126" s="211" t="s">
        <v>1661</v>
      </c>
    </row>
    <row r="127" spans="1:6">
      <c r="A127" s="208" t="s">
        <v>1662</v>
      </c>
      <c r="B127" s="209" t="s">
        <v>1663</v>
      </c>
      <c r="C127" s="210" t="s">
        <v>1664</v>
      </c>
      <c r="D127" s="209" t="s">
        <v>1665</v>
      </c>
      <c r="E127" s="210" t="s">
        <v>1666</v>
      </c>
      <c r="F127" s="211" t="s">
        <v>1667</v>
      </c>
    </row>
    <row r="128" spans="1:6">
      <c r="A128" s="208" t="s">
        <v>1668</v>
      </c>
      <c r="B128" s="209" t="s">
        <v>1669</v>
      </c>
      <c r="C128" s="210" t="s">
        <v>1670</v>
      </c>
      <c r="D128" s="209" t="s">
        <v>1671</v>
      </c>
      <c r="E128" s="210" t="s">
        <v>1672</v>
      </c>
      <c r="F128" s="211" t="s">
        <v>1673</v>
      </c>
    </row>
    <row r="129" spans="1:6">
      <c r="A129" s="208" t="s">
        <v>1674</v>
      </c>
      <c r="B129" s="209" t="s">
        <v>1675</v>
      </c>
      <c r="C129" s="210" t="s">
        <v>1676</v>
      </c>
      <c r="D129" s="209" t="s">
        <v>1677</v>
      </c>
      <c r="E129" s="210" t="s">
        <v>1678</v>
      </c>
      <c r="F129" s="211" t="s">
        <v>1679</v>
      </c>
    </row>
    <row r="130" spans="1:6">
      <c r="A130" s="208" t="s">
        <v>1680</v>
      </c>
      <c r="B130" s="209" t="s">
        <v>1681</v>
      </c>
      <c r="C130" s="210" t="s">
        <v>1682</v>
      </c>
      <c r="D130" s="209" t="s">
        <v>1683</v>
      </c>
      <c r="E130" s="210" t="s">
        <v>1684</v>
      </c>
      <c r="F130" s="211" t="s">
        <v>1685</v>
      </c>
    </row>
    <row r="131" spans="1:6">
      <c r="A131" s="208" t="s">
        <v>1686</v>
      </c>
      <c r="B131" s="209" t="s">
        <v>1687</v>
      </c>
      <c r="C131" s="210" t="s">
        <v>1688</v>
      </c>
      <c r="D131" s="209" t="s">
        <v>1689</v>
      </c>
      <c r="E131" s="210" t="s">
        <v>1690</v>
      </c>
      <c r="F131" s="211" t="s">
        <v>1691</v>
      </c>
    </row>
    <row r="132" spans="1:6">
      <c r="A132" s="208" t="s">
        <v>1692</v>
      </c>
      <c r="B132" s="209" t="s">
        <v>1693</v>
      </c>
      <c r="C132" s="210" t="s">
        <v>1694</v>
      </c>
      <c r="D132" s="209" t="s">
        <v>1695</v>
      </c>
      <c r="E132" s="210" t="s">
        <v>1696</v>
      </c>
      <c r="F132" s="211" t="s">
        <v>1697</v>
      </c>
    </row>
    <row r="133" spans="1:6">
      <c r="A133" s="208" t="s">
        <v>1698</v>
      </c>
      <c r="B133" s="209" t="s">
        <v>1699</v>
      </c>
      <c r="C133" s="210" t="s">
        <v>1700</v>
      </c>
      <c r="D133" s="209" t="s">
        <v>1701</v>
      </c>
      <c r="E133" s="210" t="s">
        <v>1702</v>
      </c>
      <c r="F133" s="211" t="s">
        <v>1703</v>
      </c>
    </row>
    <row r="134" spans="1:6">
      <c r="A134" s="208" t="s">
        <v>1704</v>
      </c>
      <c r="B134" s="209" t="s">
        <v>1705</v>
      </c>
      <c r="C134" s="210" t="s">
        <v>1706</v>
      </c>
      <c r="D134" s="209" t="s">
        <v>1707</v>
      </c>
      <c r="E134" s="210" t="s">
        <v>1708</v>
      </c>
      <c r="F134" s="211" t="s">
        <v>1709</v>
      </c>
    </row>
    <row r="135" spans="1:6">
      <c r="A135" s="208" t="s">
        <v>1710</v>
      </c>
      <c r="B135" s="209" t="s">
        <v>1711</v>
      </c>
      <c r="C135" s="210" t="s">
        <v>1712</v>
      </c>
      <c r="D135" s="209" t="s">
        <v>1713</v>
      </c>
      <c r="E135" s="210" t="s">
        <v>1714</v>
      </c>
      <c r="F135" s="211" t="s">
        <v>1715</v>
      </c>
    </row>
    <row r="136" spans="1:6">
      <c r="A136" s="208" t="s">
        <v>1716</v>
      </c>
      <c r="B136" s="209" t="s">
        <v>1717</v>
      </c>
      <c r="C136" s="210" t="s">
        <v>1718</v>
      </c>
      <c r="D136" s="209" t="s">
        <v>1719</v>
      </c>
      <c r="E136" s="210" t="s">
        <v>1720</v>
      </c>
      <c r="F136" s="211" t="s">
        <v>1721</v>
      </c>
    </row>
    <row r="137" spans="1:6">
      <c r="A137" s="208" t="s">
        <v>1722</v>
      </c>
      <c r="B137" s="209" t="s">
        <v>1723</v>
      </c>
      <c r="C137" s="210" t="s">
        <v>1724</v>
      </c>
      <c r="D137" s="209" t="s">
        <v>1725</v>
      </c>
      <c r="E137" s="210" t="s">
        <v>1726</v>
      </c>
      <c r="F137" s="211" t="s">
        <v>1727</v>
      </c>
    </row>
    <row r="138" spans="1:6">
      <c r="A138" s="208" t="s">
        <v>1728</v>
      </c>
      <c r="B138" s="209" t="s">
        <v>1729</v>
      </c>
      <c r="C138" s="210" t="s">
        <v>1730</v>
      </c>
      <c r="D138" s="209" t="s">
        <v>1731</v>
      </c>
      <c r="E138" s="210" t="s">
        <v>1732</v>
      </c>
      <c r="F138" s="211" t="s">
        <v>1733</v>
      </c>
    </row>
    <row r="139" spans="1:6">
      <c r="A139" s="208" t="s">
        <v>1734</v>
      </c>
      <c r="B139" s="209" t="s">
        <v>1735</v>
      </c>
      <c r="C139" s="210" t="s">
        <v>1736</v>
      </c>
      <c r="D139" s="209" t="s">
        <v>1737</v>
      </c>
      <c r="E139" s="210" t="s">
        <v>1738</v>
      </c>
      <c r="F139" s="211" t="s">
        <v>1739</v>
      </c>
    </row>
    <row r="140" spans="1:6">
      <c r="A140" s="208" t="s">
        <v>1740</v>
      </c>
      <c r="B140" s="209" t="s">
        <v>1741</v>
      </c>
      <c r="C140" s="210" t="s">
        <v>1742</v>
      </c>
      <c r="D140" s="209" t="s">
        <v>1743</v>
      </c>
      <c r="E140" s="210" t="s">
        <v>1744</v>
      </c>
      <c r="F140" s="211" t="s">
        <v>1745</v>
      </c>
    </row>
    <row r="141" spans="1:6">
      <c r="A141" s="208" t="s">
        <v>1746</v>
      </c>
      <c r="B141" s="209" t="s">
        <v>1747</v>
      </c>
      <c r="C141" s="210" t="s">
        <v>1748</v>
      </c>
      <c r="D141" s="209" t="s">
        <v>1749</v>
      </c>
      <c r="E141" s="210" t="s">
        <v>1750</v>
      </c>
      <c r="F141" s="211" t="s">
        <v>1751</v>
      </c>
    </row>
    <row r="142" spans="1:6">
      <c r="A142" s="208" t="s">
        <v>1752</v>
      </c>
      <c r="B142" s="209" t="s">
        <v>1753</v>
      </c>
      <c r="C142" s="210" t="s">
        <v>1754</v>
      </c>
      <c r="D142" s="209" t="s">
        <v>1755</v>
      </c>
      <c r="E142" s="210" t="s">
        <v>1756</v>
      </c>
      <c r="F142" s="211" t="s">
        <v>1757</v>
      </c>
    </row>
    <row r="143" spans="1:6">
      <c r="A143" s="208" t="s">
        <v>1758</v>
      </c>
      <c r="B143" s="209" t="s">
        <v>1759</v>
      </c>
      <c r="C143" s="210" t="s">
        <v>1760</v>
      </c>
      <c r="D143" s="209" t="s">
        <v>1761</v>
      </c>
      <c r="E143" s="210" t="s">
        <v>1762</v>
      </c>
      <c r="F143" s="211" t="s">
        <v>1763</v>
      </c>
    </row>
    <row r="144" spans="1:6">
      <c r="A144" s="208" t="s">
        <v>1764</v>
      </c>
      <c r="B144" s="209" t="s">
        <v>1765</v>
      </c>
      <c r="C144" s="210" t="s">
        <v>1766</v>
      </c>
      <c r="D144" s="209" t="s">
        <v>1767</v>
      </c>
      <c r="E144" s="210" t="s">
        <v>1768</v>
      </c>
      <c r="F144" s="211" t="s">
        <v>1769</v>
      </c>
    </row>
    <row r="145" spans="1:6">
      <c r="A145" s="208" t="s">
        <v>1770</v>
      </c>
      <c r="B145" s="209" t="s">
        <v>1771</v>
      </c>
      <c r="C145" s="210" t="s">
        <v>1772</v>
      </c>
      <c r="D145" s="209" t="s">
        <v>1773</v>
      </c>
      <c r="E145" s="210" t="s">
        <v>1774</v>
      </c>
      <c r="F145" s="211" t="s">
        <v>1775</v>
      </c>
    </row>
    <row r="146" spans="1:6">
      <c r="A146" s="208" t="s">
        <v>1776</v>
      </c>
      <c r="B146" s="209" t="s">
        <v>1777</v>
      </c>
      <c r="C146" s="210" t="s">
        <v>1778</v>
      </c>
      <c r="D146" s="209" t="s">
        <v>1779</v>
      </c>
      <c r="E146" s="210" t="s">
        <v>1780</v>
      </c>
      <c r="F146" s="211" t="s">
        <v>1781</v>
      </c>
    </row>
    <row r="147" spans="1:6">
      <c r="A147" s="208" t="s">
        <v>1782</v>
      </c>
      <c r="B147" s="209" t="s">
        <v>1783</v>
      </c>
      <c r="C147" s="210" t="s">
        <v>1784</v>
      </c>
      <c r="D147" s="209" t="s">
        <v>1785</v>
      </c>
      <c r="E147" s="210" t="s">
        <v>1786</v>
      </c>
      <c r="F147" s="211" t="s">
        <v>1787</v>
      </c>
    </row>
    <row r="148" spans="1:6">
      <c r="A148" s="208" t="s">
        <v>1788</v>
      </c>
      <c r="B148" s="209" t="s">
        <v>1789</v>
      </c>
      <c r="C148" s="210" t="s">
        <v>1790</v>
      </c>
      <c r="D148" s="209" t="s">
        <v>1791</v>
      </c>
      <c r="E148" s="210" t="s">
        <v>1792</v>
      </c>
      <c r="F148" s="211" t="s">
        <v>1793</v>
      </c>
    </row>
    <row r="149" spans="1:6">
      <c r="A149" s="208" t="s">
        <v>1794</v>
      </c>
      <c r="B149" s="209" t="s">
        <v>1795</v>
      </c>
      <c r="C149" s="210" t="s">
        <v>1796</v>
      </c>
      <c r="D149" s="209" t="s">
        <v>1797</v>
      </c>
      <c r="E149" s="210" t="s">
        <v>1798</v>
      </c>
      <c r="F149" s="211" t="s">
        <v>1799</v>
      </c>
    </row>
    <row r="150" spans="1:6">
      <c r="A150" s="208" t="s">
        <v>1800</v>
      </c>
      <c r="B150" s="209" t="s">
        <v>1801</v>
      </c>
      <c r="C150" s="210" t="s">
        <v>1802</v>
      </c>
      <c r="D150" s="209" t="s">
        <v>1803</v>
      </c>
      <c r="E150" s="210" t="s">
        <v>1528</v>
      </c>
      <c r="F150" s="211" t="s">
        <v>1804</v>
      </c>
    </row>
    <row r="151" spans="1:6">
      <c r="A151" s="208" t="s">
        <v>1805</v>
      </c>
      <c r="B151" s="209" t="s">
        <v>1806</v>
      </c>
      <c r="C151" s="210" t="s">
        <v>1807</v>
      </c>
      <c r="D151" s="209" t="s">
        <v>1808</v>
      </c>
      <c r="E151" s="210" t="s">
        <v>1809</v>
      </c>
      <c r="F151" s="211" t="s">
        <v>1810</v>
      </c>
    </row>
    <row r="152" spans="1:6">
      <c r="A152" s="208" t="s">
        <v>1811</v>
      </c>
      <c r="B152" s="209" t="s">
        <v>1812</v>
      </c>
      <c r="C152" s="210" t="s">
        <v>1813</v>
      </c>
      <c r="D152" s="209" t="s">
        <v>1814</v>
      </c>
      <c r="E152" s="210" t="s">
        <v>1815</v>
      </c>
      <c r="F152" s="211" t="s">
        <v>1816</v>
      </c>
    </row>
    <row r="153" spans="1:6">
      <c r="A153" s="208" t="s">
        <v>1817</v>
      </c>
      <c r="B153" s="209" t="s">
        <v>1818</v>
      </c>
      <c r="C153" s="210" t="s">
        <v>1819</v>
      </c>
      <c r="D153" s="209" t="s">
        <v>1820</v>
      </c>
      <c r="E153" s="210" t="s">
        <v>1821</v>
      </c>
      <c r="F153" s="211" t="s">
        <v>1822</v>
      </c>
    </row>
    <row r="154" spans="1:6">
      <c r="A154" s="208" t="s">
        <v>1823</v>
      </c>
      <c r="B154" s="209" t="s">
        <v>1824</v>
      </c>
      <c r="C154" s="210" t="s">
        <v>1825</v>
      </c>
      <c r="D154" s="209" t="s">
        <v>1826</v>
      </c>
      <c r="E154" s="210" t="s">
        <v>1827</v>
      </c>
      <c r="F154" s="211" t="s">
        <v>1828</v>
      </c>
    </row>
    <row r="155" spans="1:6">
      <c r="A155" s="208" t="s">
        <v>1829</v>
      </c>
      <c r="B155" s="209" t="s">
        <v>1830</v>
      </c>
      <c r="C155" s="210" t="s">
        <v>1831</v>
      </c>
      <c r="D155" s="209" t="s">
        <v>1832</v>
      </c>
      <c r="E155" s="210" t="s">
        <v>1636</v>
      </c>
      <c r="F155" s="211" t="s">
        <v>1833</v>
      </c>
    </row>
    <row r="156" spans="1:6">
      <c r="A156" s="208" t="s">
        <v>1834</v>
      </c>
      <c r="B156" s="209" t="s">
        <v>1835</v>
      </c>
      <c r="C156" s="210" t="s">
        <v>1836</v>
      </c>
      <c r="D156" s="209" t="s">
        <v>1837</v>
      </c>
      <c r="E156" s="210" t="s">
        <v>1838</v>
      </c>
      <c r="F156" s="211" t="s">
        <v>1839</v>
      </c>
    </row>
    <row r="157" spans="1:6">
      <c r="A157" s="208" t="s">
        <v>1840</v>
      </c>
      <c r="B157" s="209" t="s">
        <v>1841</v>
      </c>
      <c r="C157" s="210" t="s">
        <v>1842</v>
      </c>
      <c r="D157" s="209" t="s">
        <v>1843</v>
      </c>
      <c r="E157" s="210" t="s">
        <v>1844</v>
      </c>
      <c r="F157" s="211" t="s">
        <v>1845</v>
      </c>
    </row>
    <row r="158" spans="1:6">
      <c r="A158" s="208" t="s">
        <v>1846</v>
      </c>
      <c r="B158" s="209" t="s">
        <v>1847</v>
      </c>
      <c r="C158" s="210" t="s">
        <v>1848</v>
      </c>
      <c r="D158" s="209" t="s">
        <v>1849</v>
      </c>
      <c r="E158" s="210" t="s">
        <v>1850</v>
      </c>
      <c r="F158" s="211" t="s">
        <v>1851</v>
      </c>
    </row>
    <row r="159" spans="1:6">
      <c r="A159" s="208" t="s">
        <v>1852</v>
      </c>
      <c r="B159" s="209" t="s">
        <v>1853</v>
      </c>
      <c r="C159" s="210" t="s">
        <v>1854</v>
      </c>
      <c r="D159" s="209" t="s">
        <v>1855</v>
      </c>
      <c r="E159" s="210" t="s">
        <v>1856</v>
      </c>
      <c r="F159" s="211" t="s">
        <v>1857</v>
      </c>
    </row>
    <row r="160" spans="1:6">
      <c r="A160" s="208" t="s">
        <v>1858</v>
      </c>
      <c r="B160" s="209" t="s">
        <v>1859</v>
      </c>
      <c r="C160" s="210" t="s">
        <v>1860</v>
      </c>
      <c r="D160" s="209" t="s">
        <v>1861</v>
      </c>
      <c r="E160" s="210" t="s">
        <v>1862</v>
      </c>
      <c r="F160" s="211" t="s">
        <v>1863</v>
      </c>
    </row>
    <row r="161" spans="1:6">
      <c r="A161" s="208" t="s">
        <v>1864</v>
      </c>
      <c r="B161" s="209" t="s">
        <v>1865</v>
      </c>
      <c r="C161" s="210" t="s">
        <v>1866</v>
      </c>
      <c r="D161" s="209" t="s">
        <v>1867</v>
      </c>
      <c r="E161" s="210" t="s">
        <v>1868</v>
      </c>
      <c r="F161" s="211" t="s">
        <v>1869</v>
      </c>
    </row>
    <row r="162" spans="1:6">
      <c r="A162" s="208" t="s">
        <v>1870</v>
      </c>
      <c r="B162" s="209" t="s">
        <v>1871</v>
      </c>
      <c r="C162" s="210" t="s">
        <v>1872</v>
      </c>
      <c r="D162" s="209" t="s">
        <v>1873</v>
      </c>
      <c r="E162" s="210" t="s">
        <v>1874</v>
      </c>
      <c r="F162" s="211" t="s">
        <v>1875</v>
      </c>
    </row>
    <row r="163" spans="1:6">
      <c r="A163" s="208" t="s">
        <v>1876</v>
      </c>
      <c r="B163" s="209" t="s">
        <v>1877</v>
      </c>
      <c r="C163" s="210" t="s">
        <v>1878</v>
      </c>
      <c r="D163" s="209" t="s">
        <v>1879</v>
      </c>
      <c r="E163" s="210" t="s">
        <v>1880</v>
      </c>
      <c r="F163" s="211" t="s">
        <v>1881</v>
      </c>
    </row>
    <row r="164" spans="1:6">
      <c r="A164" s="208" t="s">
        <v>1882</v>
      </c>
      <c r="B164" s="209" t="s">
        <v>1883</v>
      </c>
      <c r="C164" s="210" t="s">
        <v>1884</v>
      </c>
      <c r="D164" s="209" t="s">
        <v>1885</v>
      </c>
      <c r="E164" s="210" t="s">
        <v>1886</v>
      </c>
      <c r="F164" s="211" t="s">
        <v>1887</v>
      </c>
    </row>
    <row r="165" spans="1:6">
      <c r="A165" s="208" t="s">
        <v>1888</v>
      </c>
      <c r="B165" s="209" t="s">
        <v>1889</v>
      </c>
      <c r="C165" s="210" t="s">
        <v>1890</v>
      </c>
      <c r="D165" s="209" t="s">
        <v>1891</v>
      </c>
      <c r="E165" s="210" t="s">
        <v>1892</v>
      </c>
      <c r="F165" s="211" t="s">
        <v>1893</v>
      </c>
    </row>
    <row r="166" spans="1:6">
      <c r="A166" s="208" t="s">
        <v>1894</v>
      </c>
      <c r="B166" s="209" t="s">
        <v>1895</v>
      </c>
      <c r="C166" s="210" t="s">
        <v>1896</v>
      </c>
      <c r="D166" s="209" t="s">
        <v>1897</v>
      </c>
      <c r="E166" s="210" t="s">
        <v>1898</v>
      </c>
      <c r="F166" s="211" t="s">
        <v>1899</v>
      </c>
    </row>
    <row r="167" spans="1:6">
      <c r="A167" s="208" t="s">
        <v>1900</v>
      </c>
      <c r="B167" s="209" t="s">
        <v>1901</v>
      </c>
      <c r="C167" s="210" t="s">
        <v>1902</v>
      </c>
      <c r="D167" s="209" t="s">
        <v>1903</v>
      </c>
      <c r="E167" s="210" t="s">
        <v>1904</v>
      </c>
      <c r="F167" s="211" t="s">
        <v>1905</v>
      </c>
    </row>
    <row r="168" spans="1:6">
      <c r="A168" s="208" t="s">
        <v>1906</v>
      </c>
      <c r="B168" s="209" t="s">
        <v>1907</v>
      </c>
      <c r="C168" s="210" t="s">
        <v>1908</v>
      </c>
      <c r="D168" s="209" t="s">
        <v>1909</v>
      </c>
      <c r="E168" s="210" t="s">
        <v>1910</v>
      </c>
      <c r="F168" s="211" t="s">
        <v>1911</v>
      </c>
    </row>
    <row r="169" spans="1:6">
      <c r="A169" s="208" t="s">
        <v>1912</v>
      </c>
      <c r="B169" s="209" t="s">
        <v>1913</v>
      </c>
      <c r="C169" s="210" t="s">
        <v>1914</v>
      </c>
      <c r="D169" s="209" t="s">
        <v>1915</v>
      </c>
      <c r="E169" s="210" t="s">
        <v>1678</v>
      </c>
      <c r="F169" s="211" t="s">
        <v>1916</v>
      </c>
    </row>
    <row r="170" spans="1:6">
      <c r="A170" s="208" t="s">
        <v>1917</v>
      </c>
      <c r="B170" s="209" t="s">
        <v>1918</v>
      </c>
      <c r="C170" s="210" t="s">
        <v>1919</v>
      </c>
      <c r="D170" s="209" t="s">
        <v>1920</v>
      </c>
      <c r="E170" s="210" t="s">
        <v>1921</v>
      </c>
      <c r="F170" s="211" t="s">
        <v>1922</v>
      </c>
    </row>
    <row r="171" spans="1:6">
      <c r="A171" s="208" t="s">
        <v>1923</v>
      </c>
      <c r="B171" s="209" t="s">
        <v>1924</v>
      </c>
      <c r="C171" s="210" t="s">
        <v>1925</v>
      </c>
      <c r="D171" s="209" t="s">
        <v>1926</v>
      </c>
      <c r="E171" s="210" t="s">
        <v>1927</v>
      </c>
      <c r="F171" s="211" t="s">
        <v>1928</v>
      </c>
    </row>
    <row r="172" spans="1:6">
      <c r="A172" s="208" t="s">
        <v>1929</v>
      </c>
      <c r="B172" s="209" t="s">
        <v>1930</v>
      </c>
      <c r="C172" s="210" t="s">
        <v>1931</v>
      </c>
      <c r="D172" s="209" t="s">
        <v>1932</v>
      </c>
      <c r="E172" s="210" t="s">
        <v>1933</v>
      </c>
      <c r="F172" s="211" t="s">
        <v>1934</v>
      </c>
    </row>
    <row r="173" spans="1:6">
      <c r="A173" s="208" t="s">
        <v>1935</v>
      </c>
      <c r="B173" s="209" t="s">
        <v>1936</v>
      </c>
      <c r="C173" s="210" t="s">
        <v>1937</v>
      </c>
      <c r="D173" s="209" t="s">
        <v>1938</v>
      </c>
      <c r="E173" s="210" t="s">
        <v>1939</v>
      </c>
      <c r="F173" s="211" t="s">
        <v>1940</v>
      </c>
    </row>
    <row r="174" spans="1:6">
      <c r="A174" s="208" t="s">
        <v>1941</v>
      </c>
      <c r="B174" s="209" t="s">
        <v>1942</v>
      </c>
      <c r="C174" s="210" t="s">
        <v>1943</v>
      </c>
      <c r="D174" s="209" t="s">
        <v>1944</v>
      </c>
      <c r="E174" s="210" t="s">
        <v>1945</v>
      </c>
      <c r="F174" s="211" t="s">
        <v>1946</v>
      </c>
    </row>
    <row r="175" spans="1:6">
      <c r="A175" s="208" t="s">
        <v>1947</v>
      </c>
      <c r="B175" s="209" t="s">
        <v>1948</v>
      </c>
      <c r="C175" s="210" t="s">
        <v>1949</v>
      </c>
      <c r="D175" s="209" t="s">
        <v>1950</v>
      </c>
      <c r="E175" s="210" t="s">
        <v>1951</v>
      </c>
      <c r="F175" s="211" t="s">
        <v>1952</v>
      </c>
    </row>
    <row r="176" spans="1:6">
      <c r="A176" s="208" t="s">
        <v>1953</v>
      </c>
      <c r="B176" s="209" t="s">
        <v>1954</v>
      </c>
      <c r="C176" s="210" t="s">
        <v>1955</v>
      </c>
      <c r="D176" s="209" t="s">
        <v>1956</v>
      </c>
      <c r="E176" s="210" t="s">
        <v>1957</v>
      </c>
      <c r="F176" s="211" t="s">
        <v>1958</v>
      </c>
    </row>
    <row r="177" spans="1:6">
      <c r="A177" s="208" t="s">
        <v>1959</v>
      </c>
      <c r="B177" s="209" t="s">
        <v>1960</v>
      </c>
      <c r="C177" s="210" t="s">
        <v>1961</v>
      </c>
      <c r="D177" s="209" t="s">
        <v>1962</v>
      </c>
      <c r="E177" s="210" t="s">
        <v>1963</v>
      </c>
      <c r="F177" s="211" t="s">
        <v>1964</v>
      </c>
    </row>
    <row r="178" spans="1:6">
      <c r="A178" s="208" t="s">
        <v>1965</v>
      </c>
      <c r="B178" s="209" t="s">
        <v>1966</v>
      </c>
      <c r="C178" s="210" t="s">
        <v>1967</v>
      </c>
      <c r="D178" s="209" t="s">
        <v>1968</v>
      </c>
      <c r="E178" s="210" t="s">
        <v>1969</v>
      </c>
      <c r="F178" s="211" t="s">
        <v>1970</v>
      </c>
    </row>
    <row r="179" spans="1:6">
      <c r="A179" s="208" t="s">
        <v>1971</v>
      </c>
      <c r="B179" s="209" t="s">
        <v>1972</v>
      </c>
      <c r="C179" s="210" t="s">
        <v>1973</v>
      </c>
      <c r="D179" s="209" t="s">
        <v>1974</v>
      </c>
      <c r="E179" s="210" t="s">
        <v>1975</v>
      </c>
      <c r="F179" s="211" t="s">
        <v>1976</v>
      </c>
    </row>
    <row r="180" spans="1:6">
      <c r="A180" s="208" t="s">
        <v>1977</v>
      </c>
      <c r="B180" s="209" t="s">
        <v>1978</v>
      </c>
      <c r="C180" s="210" t="s">
        <v>1979</v>
      </c>
      <c r="D180" s="209" t="s">
        <v>1980</v>
      </c>
      <c r="E180" s="210" t="s">
        <v>1981</v>
      </c>
      <c r="F180" s="211" t="s">
        <v>1982</v>
      </c>
    </row>
    <row r="181" spans="1:6">
      <c r="A181" s="208" t="s">
        <v>1983</v>
      </c>
      <c r="B181" s="209" t="s">
        <v>1984</v>
      </c>
      <c r="C181" s="210" t="s">
        <v>1985</v>
      </c>
      <c r="D181" s="209" t="s">
        <v>1986</v>
      </c>
      <c r="E181" s="210" t="s">
        <v>1987</v>
      </c>
      <c r="F181" s="211" t="s">
        <v>1988</v>
      </c>
    </row>
    <row r="182" spans="1:6">
      <c r="A182" s="208" t="s">
        <v>1989</v>
      </c>
      <c r="B182" s="209" t="s">
        <v>1990</v>
      </c>
      <c r="C182" s="210" t="s">
        <v>1991</v>
      </c>
      <c r="D182" s="209" t="s">
        <v>1992</v>
      </c>
      <c r="E182" s="210" t="s">
        <v>1993</v>
      </c>
      <c r="F182" s="211" t="s">
        <v>1994</v>
      </c>
    </row>
    <row r="183" spans="1:6">
      <c r="A183" s="208" t="s">
        <v>1995</v>
      </c>
      <c r="B183" s="209" t="s">
        <v>1996</v>
      </c>
      <c r="C183" s="210" t="s">
        <v>1997</v>
      </c>
      <c r="D183" s="209" t="s">
        <v>1998</v>
      </c>
      <c r="E183" s="210" t="s">
        <v>1999</v>
      </c>
      <c r="F183" s="211" t="s">
        <v>2000</v>
      </c>
    </row>
    <row r="184" spans="1:6">
      <c r="A184" s="208" t="s">
        <v>2001</v>
      </c>
      <c r="B184" s="209" t="s">
        <v>2002</v>
      </c>
      <c r="C184" s="210" t="s">
        <v>2003</v>
      </c>
      <c r="D184" s="209" t="s">
        <v>2004</v>
      </c>
      <c r="E184" s="210" t="s">
        <v>2005</v>
      </c>
      <c r="F184" s="211" t="s">
        <v>2006</v>
      </c>
    </row>
    <row r="185" spans="1:6">
      <c r="A185" s="208" t="s">
        <v>2007</v>
      </c>
      <c r="B185" s="209" t="s">
        <v>2008</v>
      </c>
      <c r="C185" s="210" t="s">
        <v>2009</v>
      </c>
      <c r="D185" s="209" t="s">
        <v>2010</v>
      </c>
      <c r="E185" s="210" t="s">
        <v>1750</v>
      </c>
      <c r="F185" s="211" t="s">
        <v>2011</v>
      </c>
    </row>
    <row r="186" spans="1:6">
      <c r="A186" s="208" t="s">
        <v>2012</v>
      </c>
      <c r="B186" s="209" t="s">
        <v>2013</v>
      </c>
      <c r="C186" s="210" t="s">
        <v>2014</v>
      </c>
      <c r="D186" s="209" t="s">
        <v>2015</v>
      </c>
      <c r="E186" s="210" t="s">
        <v>2016</v>
      </c>
      <c r="F186" s="211" t="s">
        <v>2017</v>
      </c>
    </row>
    <row r="187" spans="1:6">
      <c r="A187" s="208" t="s">
        <v>2018</v>
      </c>
      <c r="B187" s="209" t="s">
        <v>2019</v>
      </c>
      <c r="C187" s="210" t="s">
        <v>2020</v>
      </c>
      <c r="D187" s="209" t="s">
        <v>2021</v>
      </c>
      <c r="E187" s="210" t="s">
        <v>2022</v>
      </c>
      <c r="F187" s="211" t="s">
        <v>2023</v>
      </c>
    </row>
    <row r="188" spans="1:6">
      <c r="A188" s="208" t="s">
        <v>2024</v>
      </c>
      <c r="B188" s="209" t="s">
        <v>2025</v>
      </c>
      <c r="C188" s="210" t="s">
        <v>2026</v>
      </c>
      <c r="D188" s="209" t="s">
        <v>2027</v>
      </c>
      <c r="E188" s="210" t="s">
        <v>2028</v>
      </c>
      <c r="F188" s="211" t="s">
        <v>2029</v>
      </c>
    </row>
    <row r="189" spans="1:6">
      <c r="A189" s="208" t="s">
        <v>2030</v>
      </c>
      <c r="B189" s="209" t="s">
        <v>2031</v>
      </c>
      <c r="C189" s="210" t="s">
        <v>2032</v>
      </c>
      <c r="D189" s="209" t="s">
        <v>2033</v>
      </c>
      <c r="E189" s="210" t="s">
        <v>2034</v>
      </c>
      <c r="F189" s="211" t="s">
        <v>2035</v>
      </c>
    </row>
    <row r="190" spans="1:6">
      <c r="A190" s="208" t="s">
        <v>2036</v>
      </c>
      <c r="B190" s="209" t="s">
        <v>2037</v>
      </c>
      <c r="C190" s="210" t="s">
        <v>2038</v>
      </c>
      <c r="D190" s="209" t="s">
        <v>2039</v>
      </c>
      <c r="E190" s="210" t="s">
        <v>2040</v>
      </c>
      <c r="F190" s="211" t="s">
        <v>2041</v>
      </c>
    </row>
    <row r="191" spans="1:6">
      <c r="A191" s="208" t="s">
        <v>2042</v>
      </c>
      <c r="B191" s="209" t="s">
        <v>2043</v>
      </c>
      <c r="C191" s="210" t="s">
        <v>2044</v>
      </c>
      <c r="D191" s="209" t="s">
        <v>2045</v>
      </c>
      <c r="E191" s="210" t="s">
        <v>2046</v>
      </c>
      <c r="F191" s="211" t="s">
        <v>2047</v>
      </c>
    </row>
    <row r="192" spans="1:6">
      <c r="A192" s="208" t="s">
        <v>2048</v>
      </c>
      <c r="B192" s="209" t="s">
        <v>2049</v>
      </c>
      <c r="C192" s="210" t="s">
        <v>2050</v>
      </c>
      <c r="D192" s="209" t="s">
        <v>2051</v>
      </c>
      <c r="E192" s="210" t="s">
        <v>2052</v>
      </c>
      <c r="F192" s="211" t="s">
        <v>2053</v>
      </c>
    </row>
    <row r="193" spans="1:6">
      <c r="A193" s="208" t="s">
        <v>1482</v>
      </c>
      <c r="B193" s="209" t="s">
        <v>1483</v>
      </c>
      <c r="C193" s="210" t="s">
        <v>1484</v>
      </c>
      <c r="D193" s="209" t="s">
        <v>1485</v>
      </c>
      <c r="E193" s="210" t="s">
        <v>1486</v>
      </c>
      <c r="F193" s="211" t="s">
        <v>1487</v>
      </c>
    </row>
    <row r="194" spans="1:6">
      <c r="A194" s="208" t="s">
        <v>1488</v>
      </c>
      <c r="B194" s="209" t="s">
        <v>1489</v>
      </c>
      <c r="C194" s="210" t="s">
        <v>1490</v>
      </c>
      <c r="D194" s="209" t="s">
        <v>1491</v>
      </c>
      <c r="E194" s="210" t="s">
        <v>1492</v>
      </c>
      <c r="F194" s="211" t="s">
        <v>1493</v>
      </c>
    </row>
    <row r="195" spans="1:6">
      <c r="A195" s="208" t="s">
        <v>1494</v>
      </c>
      <c r="B195" s="209" t="s">
        <v>1495</v>
      </c>
      <c r="C195" s="210" t="s">
        <v>1496</v>
      </c>
      <c r="D195" s="209" t="s">
        <v>1497</v>
      </c>
      <c r="E195" s="210" t="s">
        <v>1498</v>
      </c>
      <c r="F195" s="211" t="s">
        <v>1499</v>
      </c>
    </row>
    <row r="196" spans="1:6">
      <c r="A196" s="208" t="s">
        <v>1500</v>
      </c>
      <c r="B196" s="209" t="s">
        <v>1501</v>
      </c>
      <c r="C196" s="210" t="s">
        <v>1502</v>
      </c>
      <c r="D196" s="209" t="s">
        <v>1503</v>
      </c>
      <c r="E196" s="210" t="s">
        <v>1504</v>
      </c>
      <c r="F196" s="211" t="s">
        <v>1505</v>
      </c>
    </row>
    <row r="197" spans="1:6">
      <c r="A197" s="208" t="s">
        <v>1506</v>
      </c>
      <c r="B197" s="209" t="s">
        <v>1507</v>
      </c>
      <c r="C197" s="210" t="s">
        <v>1508</v>
      </c>
      <c r="D197" s="209" t="s">
        <v>1509</v>
      </c>
      <c r="E197" s="210" t="s">
        <v>1510</v>
      </c>
      <c r="F197" s="211" t="s">
        <v>1511</v>
      </c>
    </row>
    <row r="198" spans="1:6">
      <c r="A198" s="208" t="s">
        <v>1512</v>
      </c>
      <c r="B198" s="209" t="s">
        <v>1513</v>
      </c>
      <c r="C198" s="210" t="s">
        <v>1514</v>
      </c>
      <c r="D198" s="209" t="s">
        <v>1515</v>
      </c>
      <c r="E198" s="210" t="s">
        <v>1516</v>
      </c>
      <c r="F198" s="211" t="s">
        <v>1517</v>
      </c>
    </row>
    <row r="199" spans="1:6">
      <c r="A199" s="208" t="s">
        <v>1518</v>
      </c>
      <c r="B199" s="209" t="s">
        <v>1519</v>
      </c>
      <c r="C199" s="210" t="s">
        <v>1520</v>
      </c>
      <c r="D199" s="209" t="s">
        <v>1521</v>
      </c>
      <c r="E199" s="210" t="s">
        <v>1522</v>
      </c>
      <c r="F199" s="211" t="s">
        <v>1523</v>
      </c>
    </row>
    <row r="200" spans="1:6">
      <c r="A200" s="208" t="s">
        <v>1524</v>
      </c>
      <c r="B200" s="209" t="s">
        <v>1525</v>
      </c>
      <c r="C200" s="210" t="s">
        <v>1526</v>
      </c>
      <c r="D200" s="209" t="s">
        <v>1527</v>
      </c>
      <c r="E200" s="210" t="s">
        <v>1528</v>
      </c>
      <c r="F200" s="211" t="s">
        <v>1529</v>
      </c>
    </row>
    <row r="201" spans="1:6">
      <c r="A201" s="208" t="s">
        <v>1530</v>
      </c>
      <c r="B201" s="209" t="s">
        <v>1531</v>
      </c>
      <c r="C201" s="210" t="s">
        <v>1532</v>
      </c>
      <c r="D201" s="209" t="s">
        <v>1533</v>
      </c>
      <c r="E201" s="210" t="s">
        <v>1534</v>
      </c>
      <c r="F201" s="211" t="s">
        <v>1535</v>
      </c>
    </row>
    <row r="202" spans="1:6">
      <c r="A202" s="208" t="s">
        <v>1536</v>
      </c>
      <c r="B202" s="209" t="s">
        <v>1537</v>
      </c>
      <c r="C202" s="210" t="s">
        <v>1538</v>
      </c>
      <c r="D202" s="209" t="s">
        <v>1539</v>
      </c>
      <c r="E202" s="210" t="s">
        <v>1540</v>
      </c>
      <c r="F202" s="211" t="s">
        <v>1541</v>
      </c>
    </row>
    <row r="203" spans="1:6">
      <c r="A203" s="208" t="s">
        <v>1542</v>
      </c>
      <c r="B203" s="209" t="s">
        <v>1543</v>
      </c>
      <c r="C203" s="210" t="s">
        <v>1544</v>
      </c>
      <c r="D203" s="209" t="s">
        <v>1545</v>
      </c>
      <c r="E203" s="210" t="s">
        <v>1546</v>
      </c>
      <c r="F203" s="211" t="s">
        <v>1547</v>
      </c>
    </row>
    <row r="204" spans="1:6">
      <c r="A204" s="208" t="s">
        <v>1548</v>
      </c>
      <c r="B204" s="209" t="s">
        <v>1549</v>
      </c>
      <c r="C204" s="210" t="s">
        <v>1550</v>
      </c>
      <c r="D204" s="209" t="s">
        <v>1551</v>
      </c>
      <c r="E204" s="210" t="s">
        <v>1552</v>
      </c>
      <c r="F204" s="211" t="s">
        <v>1553</v>
      </c>
    </row>
    <row r="205" spans="1:6">
      <c r="A205" s="208" t="s">
        <v>1554</v>
      </c>
      <c r="B205" s="209" t="s">
        <v>1555</v>
      </c>
      <c r="C205" s="210" t="s">
        <v>1556</v>
      </c>
      <c r="D205" s="209" t="s">
        <v>1557</v>
      </c>
      <c r="E205" s="210" t="s">
        <v>1558</v>
      </c>
      <c r="F205" s="211" t="s">
        <v>1559</v>
      </c>
    </row>
    <row r="206" spans="1:6">
      <c r="A206" s="208" t="s">
        <v>1560</v>
      </c>
      <c r="B206" s="209" t="s">
        <v>1561</v>
      </c>
      <c r="C206" s="210" t="s">
        <v>1562</v>
      </c>
      <c r="D206" s="209" t="s">
        <v>1563</v>
      </c>
      <c r="E206" s="210" t="s">
        <v>1564</v>
      </c>
      <c r="F206" s="211" t="s">
        <v>1565</v>
      </c>
    </row>
    <row r="207" spans="1:6">
      <c r="A207" s="208" t="s">
        <v>1566</v>
      </c>
      <c r="B207" s="209" t="s">
        <v>1567</v>
      </c>
      <c r="C207" s="210" t="s">
        <v>1568</v>
      </c>
      <c r="D207" s="209" t="s">
        <v>1569</v>
      </c>
      <c r="E207" s="210" t="s">
        <v>1570</v>
      </c>
      <c r="F207" s="211" t="s">
        <v>1571</v>
      </c>
    </row>
    <row r="208" spans="1:6">
      <c r="A208" s="208" t="s">
        <v>1572</v>
      </c>
      <c r="B208" s="209" t="s">
        <v>1573</v>
      </c>
      <c r="C208" s="210" t="s">
        <v>1574</v>
      </c>
      <c r="D208" s="209" t="s">
        <v>1575</v>
      </c>
      <c r="E208" s="210" t="s">
        <v>1576</v>
      </c>
      <c r="F208" s="211" t="s">
        <v>1577</v>
      </c>
    </row>
    <row r="209" spans="1:6">
      <c r="A209" s="208" t="s">
        <v>1578</v>
      </c>
      <c r="B209" s="209" t="s">
        <v>1579</v>
      </c>
      <c r="C209" s="210" t="s">
        <v>1580</v>
      </c>
      <c r="D209" s="209" t="s">
        <v>1581</v>
      </c>
      <c r="E209" s="210" t="s">
        <v>1582</v>
      </c>
      <c r="F209" s="211" t="s">
        <v>1583</v>
      </c>
    </row>
    <row r="210" spans="1:6">
      <c r="A210" s="208" t="s">
        <v>1584</v>
      </c>
      <c r="B210" s="209" t="s">
        <v>1585</v>
      </c>
      <c r="C210" s="210" t="s">
        <v>1586</v>
      </c>
      <c r="D210" s="209" t="s">
        <v>1587</v>
      </c>
      <c r="E210" s="210" t="s">
        <v>1588</v>
      </c>
      <c r="F210" s="211" t="s">
        <v>1589</v>
      </c>
    </row>
    <row r="211" spans="1:6">
      <c r="A211" s="208" t="s">
        <v>1590</v>
      </c>
      <c r="B211" s="209" t="s">
        <v>1591</v>
      </c>
      <c r="C211" s="210" t="s">
        <v>1592</v>
      </c>
      <c r="D211" s="209" t="s">
        <v>1593</v>
      </c>
      <c r="E211" s="210" t="s">
        <v>1594</v>
      </c>
      <c r="F211" s="211" t="s">
        <v>1595</v>
      </c>
    </row>
    <row r="212" spans="1:6">
      <c r="A212" s="208" t="s">
        <v>1596</v>
      </c>
      <c r="B212" s="209" t="s">
        <v>1597</v>
      </c>
      <c r="C212" s="210" t="s">
        <v>1598</v>
      </c>
      <c r="D212" s="209" t="s">
        <v>1599</v>
      </c>
      <c r="E212" s="210" t="s">
        <v>1600</v>
      </c>
      <c r="F212" s="211" t="s">
        <v>1601</v>
      </c>
    </row>
    <row r="213" spans="1:6">
      <c r="A213" s="208" t="s">
        <v>1602</v>
      </c>
      <c r="B213" s="209" t="s">
        <v>1603</v>
      </c>
      <c r="C213" s="210" t="s">
        <v>1604</v>
      </c>
      <c r="D213" s="209" t="s">
        <v>1605</v>
      </c>
      <c r="E213" s="210" t="s">
        <v>1606</v>
      </c>
      <c r="F213" s="211" t="s">
        <v>1607</v>
      </c>
    </row>
    <row r="214" spans="1:6">
      <c r="A214" s="208" t="s">
        <v>1608</v>
      </c>
      <c r="B214" s="209" t="s">
        <v>1609</v>
      </c>
      <c r="C214" s="210" t="s">
        <v>1610</v>
      </c>
      <c r="D214" s="209" t="s">
        <v>1611</v>
      </c>
      <c r="E214" s="210" t="s">
        <v>1612</v>
      </c>
      <c r="F214" s="211" t="s">
        <v>1613</v>
      </c>
    </row>
    <row r="215" spans="1:6">
      <c r="A215" s="208" t="s">
        <v>1614</v>
      </c>
      <c r="B215" s="209" t="s">
        <v>1615</v>
      </c>
      <c r="C215" s="210" t="s">
        <v>1616</v>
      </c>
      <c r="D215" s="209" t="s">
        <v>1617</v>
      </c>
      <c r="E215" s="210" t="s">
        <v>1618</v>
      </c>
      <c r="F215" s="211" t="s">
        <v>1619</v>
      </c>
    </row>
    <row r="216" spans="1:6">
      <c r="A216" s="208" t="s">
        <v>1620</v>
      </c>
      <c r="B216" s="209" t="s">
        <v>1621</v>
      </c>
      <c r="C216" s="210" t="s">
        <v>1622</v>
      </c>
      <c r="D216" s="209" t="s">
        <v>1623</v>
      </c>
      <c r="E216" s="210" t="s">
        <v>1624</v>
      </c>
      <c r="F216" s="211" t="s">
        <v>1625</v>
      </c>
    </row>
    <row r="217" spans="1:6">
      <c r="A217" s="208" t="s">
        <v>1626</v>
      </c>
      <c r="B217" s="209" t="s">
        <v>1627</v>
      </c>
      <c r="C217" s="210" t="s">
        <v>1628</v>
      </c>
      <c r="D217" s="209" t="s">
        <v>1629</v>
      </c>
      <c r="E217" s="210" t="s">
        <v>1630</v>
      </c>
      <c r="F217" s="211" t="s">
        <v>1631</v>
      </c>
    </row>
    <row r="218" spans="1:6">
      <c r="A218" s="208" t="s">
        <v>1632</v>
      </c>
      <c r="B218" s="209" t="s">
        <v>1633</v>
      </c>
      <c r="C218" s="210" t="s">
        <v>1634</v>
      </c>
      <c r="D218" s="209" t="s">
        <v>1635</v>
      </c>
      <c r="E218" s="210" t="s">
        <v>1636</v>
      </c>
      <c r="F218" s="211" t="s">
        <v>1637</v>
      </c>
    </row>
    <row r="219" spans="1:6">
      <c r="A219" s="208" t="s">
        <v>1638</v>
      </c>
      <c r="B219" s="209" t="s">
        <v>1639</v>
      </c>
      <c r="C219" s="210" t="s">
        <v>1640</v>
      </c>
      <c r="D219" s="209" t="s">
        <v>1641</v>
      </c>
      <c r="E219" s="210" t="s">
        <v>1642</v>
      </c>
      <c r="F219" s="211" t="s">
        <v>1643</v>
      </c>
    </row>
    <row r="220" spans="1:6">
      <c r="A220" s="208" t="s">
        <v>1644</v>
      </c>
      <c r="B220" s="209" t="s">
        <v>1645</v>
      </c>
      <c r="C220" s="210" t="s">
        <v>1646</v>
      </c>
      <c r="D220" s="209" t="s">
        <v>1647</v>
      </c>
      <c r="E220" s="210" t="s">
        <v>1648</v>
      </c>
      <c r="F220" s="211" t="s">
        <v>1649</v>
      </c>
    </row>
    <row r="221" spans="1:6">
      <c r="A221" s="208" t="s">
        <v>1650</v>
      </c>
      <c r="B221" s="209" t="s">
        <v>1651</v>
      </c>
      <c r="C221" s="210" t="s">
        <v>1652</v>
      </c>
      <c r="D221" s="209" t="s">
        <v>1653</v>
      </c>
      <c r="E221" s="210" t="s">
        <v>1654</v>
      </c>
      <c r="F221" s="211" t="s">
        <v>1655</v>
      </c>
    </row>
    <row r="222" spans="1:6">
      <c r="A222" s="208" t="s">
        <v>1656</v>
      </c>
      <c r="B222" s="209" t="s">
        <v>1657</v>
      </c>
      <c r="C222" s="210" t="s">
        <v>1658</v>
      </c>
      <c r="D222" s="209" t="s">
        <v>1659</v>
      </c>
      <c r="E222" s="210" t="s">
        <v>1660</v>
      </c>
      <c r="F222" s="211" t="s">
        <v>1661</v>
      </c>
    </row>
    <row r="223" spans="1:6">
      <c r="A223" s="208" t="s">
        <v>1662</v>
      </c>
      <c r="B223" s="209" t="s">
        <v>1663</v>
      </c>
      <c r="C223" s="210" t="s">
        <v>1664</v>
      </c>
      <c r="D223" s="209" t="s">
        <v>1665</v>
      </c>
      <c r="E223" s="210" t="s">
        <v>1666</v>
      </c>
      <c r="F223" s="211" t="s">
        <v>1667</v>
      </c>
    </row>
    <row r="224" spans="1:6">
      <c r="A224" s="208" t="s">
        <v>1668</v>
      </c>
      <c r="B224" s="209" t="s">
        <v>1669</v>
      </c>
      <c r="C224" s="210" t="s">
        <v>1670</v>
      </c>
      <c r="D224" s="209" t="s">
        <v>1671</v>
      </c>
      <c r="E224" s="210" t="s">
        <v>1672</v>
      </c>
      <c r="F224" s="211" t="s">
        <v>1673</v>
      </c>
    </row>
    <row r="225" spans="1:6">
      <c r="A225" s="208" t="s">
        <v>1674</v>
      </c>
      <c r="B225" s="209" t="s">
        <v>1675</v>
      </c>
      <c r="C225" s="210" t="s">
        <v>1676</v>
      </c>
      <c r="D225" s="209" t="s">
        <v>1677</v>
      </c>
      <c r="E225" s="210" t="s">
        <v>1678</v>
      </c>
      <c r="F225" s="211" t="s">
        <v>1679</v>
      </c>
    </row>
    <row r="226" spans="1:6">
      <c r="A226" s="208" t="s">
        <v>1680</v>
      </c>
      <c r="B226" s="209" t="s">
        <v>1681</v>
      </c>
      <c r="C226" s="210" t="s">
        <v>1682</v>
      </c>
      <c r="D226" s="209" t="s">
        <v>1683</v>
      </c>
      <c r="E226" s="210" t="s">
        <v>1684</v>
      </c>
      <c r="F226" s="211" t="s">
        <v>1685</v>
      </c>
    </row>
    <row r="227" spans="1:6">
      <c r="A227" s="208" t="s">
        <v>1686</v>
      </c>
      <c r="B227" s="209" t="s">
        <v>1687</v>
      </c>
      <c r="C227" s="210" t="s">
        <v>1688</v>
      </c>
      <c r="D227" s="209" t="s">
        <v>1689</v>
      </c>
      <c r="E227" s="210" t="s">
        <v>1690</v>
      </c>
      <c r="F227" s="211" t="s">
        <v>1691</v>
      </c>
    </row>
    <row r="228" spans="1:6">
      <c r="A228" s="208" t="s">
        <v>1692</v>
      </c>
      <c r="B228" s="209" t="s">
        <v>1693</v>
      </c>
      <c r="C228" s="210" t="s">
        <v>1694</v>
      </c>
      <c r="D228" s="209" t="s">
        <v>1695</v>
      </c>
      <c r="E228" s="210" t="s">
        <v>1696</v>
      </c>
      <c r="F228" s="211" t="s">
        <v>1697</v>
      </c>
    </row>
    <row r="229" spans="1:6">
      <c r="A229" s="208" t="s">
        <v>1698</v>
      </c>
      <c r="B229" s="209" t="s">
        <v>1699</v>
      </c>
      <c r="C229" s="210" t="s">
        <v>1700</v>
      </c>
      <c r="D229" s="209" t="s">
        <v>1701</v>
      </c>
      <c r="E229" s="210" t="s">
        <v>1702</v>
      </c>
      <c r="F229" s="211" t="s">
        <v>1703</v>
      </c>
    </row>
    <row r="230" spans="1:6">
      <c r="A230" s="208" t="s">
        <v>1704</v>
      </c>
      <c r="B230" s="209" t="s">
        <v>1705</v>
      </c>
      <c r="C230" s="210" t="s">
        <v>1706</v>
      </c>
      <c r="D230" s="209" t="s">
        <v>1707</v>
      </c>
      <c r="E230" s="210" t="s">
        <v>1708</v>
      </c>
      <c r="F230" s="211" t="s">
        <v>1709</v>
      </c>
    </row>
    <row r="231" spans="1:6">
      <c r="A231" s="208" t="s">
        <v>1710</v>
      </c>
      <c r="B231" s="209" t="s">
        <v>1711</v>
      </c>
      <c r="C231" s="210" t="s">
        <v>1712</v>
      </c>
      <c r="D231" s="209" t="s">
        <v>1713</v>
      </c>
      <c r="E231" s="210" t="s">
        <v>1714</v>
      </c>
      <c r="F231" s="211" t="s">
        <v>1715</v>
      </c>
    </row>
    <row r="232" spans="1:6">
      <c r="A232" s="208" t="s">
        <v>1716</v>
      </c>
      <c r="B232" s="209" t="s">
        <v>1717</v>
      </c>
      <c r="C232" s="210" t="s">
        <v>1718</v>
      </c>
      <c r="D232" s="209" t="s">
        <v>1719</v>
      </c>
      <c r="E232" s="210" t="s">
        <v>1720</v>
      </c>
      <c r="F232" s="211" t="s">
        <v>1721</v>
      </c>
    </row>
    <row r="233" spans="1:6">
      <c r="A233" s="208" t="s">
        <v>1722</v>
      </c>
      <c r="B233" s="209" t="s">
        <v>1723</v>
      </c>
      <c r="C233" s="210" t="s">
        <v>1724</v>
      </c>
      <c r="D233" s="209" t="s">
        <v>1725</v>
      </c>
      <c r="E233" s="210" t="s">
        <v>1726</v>
      </c>
      <c r="F233" s="211" t="s">
        <v>1727</v>
      </c>
    </row>
    <row r="234" spans="1:6">
      <c r="A234" s="208" t="s">
        <v>1728</v>
      </c>
      <c r="B234" s="209" t="s">
        <v>1729</v>
      </c>
      <c r="C234" s="210" t="s">
        <v>1730</v>
      </c>
      <c r="D234" s="209" t="s">
        <v>1731</v>
      </c>
      <c r="E234" s="210" t="s">
        <v>1732</v>
      </c>
      <c r="F234" s="211" t="s">
        <v>1733</v>
      </c>
    </row>
    <row r="235" spans="1:6">
      <c r="A235" s="208" t="s">
        <v>1734</v>
      </c>
      <c r="B235" s="209" t="s">
        <v>1735</v>
      </c>
      <c r="C235" s="210" t="s">
        <v>1736</v>
      </c>
      <c r="D235" s="209" t="s">
        <v>1737</v>
      </c>
      <c r="E235" s="210" t="s">
        <v>1738</v>
      </c>
      <c r="F235" s="211" t="s">
        <v>1739</v>
      </c>
    </row>
    <row r="236" spans="1:6">
      <c r="A236" s="208" t="s">
        <v>1740</v>
      </c>
      <c r="B236" s="209" t="s">
        <v>1741</v>
      </c>
      <c r="C236" s="210" t="s">
        <v>1742</v>
      </c>
      <c r="D236" s="209" t="s">
        <v>1743</v>
      </c>
      <c r="E236" s="210" t="s">
        <v>1744</v>
      </c>
      <c r="F236" s="211" t="s">
        <v>1745</v>
      </c>
    </row>
    <row r="237" spans="1:6">
      <c r="A237" s="208" t="s">
        <v>1746</v>
      </c>
      <c r="B237" s="209" t="s">
        <v>1747</v>
      </c>
      <c r="C237" s="210" t="s">
        <v>1748</v>
      </c>
      <c r="D237" s="209" t="s">
        <v>1749</v>
      </c>
      <c r="E237" s="210" t="s">
        <v>1750</v>
      </c>
      <c r="F237" s="211" t="s">
        <v>1751</v>
      </c>
    </row>
    <row r="238" spans="1:6">
      <c r="A238" s="208" t="s">
        <v>1752</v>
      </c>
      <c r="B238" s="209" t="s">
        <v>1753</v>
      </c>
      <c r="C238" s="210" t="s">
        <v>1754</v>
      </c>
      <c r="D238" s="209" t="s">
        <v>1755</v>
      </c>
      <c r="E238" s="210" t="s">
        <v>1756</v>
      </c>
      <c r="F238" s="211" t="s">
        <v>1757</v>
      </c>
    </row>
    <row r="239" spans="1:6">
      <c r="A239" s="208" t="s">
        <v>1758</v>
      </c>
      <c r="B239" s="209" t="s">
        <v>1759</v>
      </c>
      <c r="C239" s="210" t="s">
        <v>1760</v>
      </c>
      <c r="D239" s="209" t="s">
        <v>1761</v>
      </c>
      <c r="E239" s="210" t="s">
        <v>1762</v>
      </c>
      <c r="F239" s="211" t="s">
        <v>1763</v>
      </c>
    </row>
    <row r="240" spans="1:6">
      <c r="A240" s="208" t="s">
        <v>1764</v>
      </c>
      <c r="B240" s="209" t="s">
        <v>1765</v>
      </c>
      <c r="C240" s="210" t="s">
        <v>1766</v>
      </c>
      <c r="D240" s="209" t="s">
        <v>1767</v>
      </c>
      <c r="E240" s="210" t="s">
        <v>1768</v>
      </c>
      <c r="F240" s="211" t="s">
        <v>1769</v>
      </c>
    </row>
    <row r="241" spans="1:6">
      <c r="A241" s="208" t="s">
        <v>1770</v>
      </c>
      <c r="B241" s="209" t="s">
        <v>1771</v>
      </c>
      <c r="C241" s="210" t="s">
        <v>1772</v>
      </c>
      <c r="D241" s="209" t="s">
        <v>1773</v>
      </c>
      <c r="E241" s="210" t="s">
        <v>1774</v>
      </c>
      <c r="F241" s="211" t="s">
        <v>1775</v>
      </c>
    </row>
    <row r="242" spans="1:6">
      <c r="A242" s="208" t="s">
        <v>1776</v>
      </c>
      <c r="B242" s="209" t="s">
        <v>1777</v>
      </c>
      <c r="C242" s="210" t="s">
        <v>1778</v>
      </c>
      <c r="D242" s="209" t="s">
        <v>1779</v>
      </c>
      <c r="E242" s="210" t="s">
        <v>1780</v>
      </c>
      <c r="F242" s="211" t="s">
        <v>1781</v>
      </c>
    </row>
    <row r="243" spans="1:6">
      <c r="A243" s="208" t="s">
        <v>1782</v>
      </c>
      <c r="B243" s="209" t="s">
        <v>1783</v>
      </c>
      <c r="C243" s="210" t="s">
        <v>1784</v>
      </c>
      <c r="D243" s="209" t="s">
        <v>1785</v>
      </c>
      <c r="E243" s="210" t="s">
        <v>1786</v>
      </c>
      <c r="F243" s="211" t="s">
        <v>1787</v>
      </c>
    </row>
    <row r="244" spans="1:6">
      <c r="A244" s="208" t="s">
        <v>1788</v>
      </c>
      <c r="B244" s="209" t="s">
        <v>1789</v>
      </c>
      <c r="C244" s="210" t="s">
        <v>1790</v>
      </c>
      <c r="D244" s="209" t="s">
        <v>1791</v>
      </c>
      <c r="E244" s="210" t="s">
        <v>1792</v>
      </c>
      <c r="F244" s="211" t="s">
        <v>1793</v>
      </c>
    </row>
    <row r="245" spans="1:6">
      <c r="A245" s="208" t="s">
        <v>1794</v>
      </c>
      <c r="B245" s="209" t="s">
        <v>1795</v>
      </c>
      <c r="C245" s="210" t="s">
        <v>1796</v>
      </c>
      <c r="D245" s="209" t="s">
        <v>1797</v>
      </c>
      <c r="E245" s="210" t="s">
        <v>1798</v>
      </c>
      <c r="F245" s="211" t="s">
        <v>1799</v>
      </c>
    </row>
    <row r="246" spans="1:6">
      <c r="A246" s="208" t="s">
        <v>1800</v>
      </c>
      <c r="B246" s="209" t="s">
        <v>1801</v>
      </c>
      <c r="C246" s="210" t="s">
        <v>1802</v>
      </c>
      <c r="D246" s="209" t="s">
        <v>1803</v>
      </c>
      <c r="E246" s="210" t="s">
        <v>1528</v>
      </c>
      <c r="F246" s="211" t="s">
        <v>1804</v>
      </c>
    </row>
    <row r="247" spans="1:6">
      <c r="A247" s="208" t="s">
        <v>1805</v>
      </c>
      <c r="B247" s="209" t="s">
        <v>1806</v>
      </c>
      <c r="C247" s="210" t="s">
        <v>1807</v>
      </c>
      <c r="D247" s="209" t="s">
        <v>1808</v>
      </c>
      <c r="E247" s="210" t="s">
        <v>1809</v>
      </c>
      <c r="F247" s="211" t="s">
        <v>1810</v>
      </c>
    </row>
    <row r="248" spans="1:6">
      <c r="A248" s="208" t="s">
        <v>1811</v>
      </c>
      <c r="B248" s="209" t="s">
        <v>1812</v>
      </c>
      <c r="C248" s="210" t="s">
        <v>1813</v>
      </c>
      <c r="D248" s="209" t="s">
        <v>1814</v>
      </c>
      <c r="E248" s="210" t="s">
        <v>1815</v>
      </c>
      <c r="F248" s="211" t="s">
        <v>1816</v>
      </c>
    </row>
    <row r="249" spans="1:6">
      <c r="A249" s="208" t="s">
        <v>1817</v>
      </c>
      <c r="B249" s="209" t="s">
        <v>1818</v>
      </c>
      <c r="C249" s="210" t="s">
        <v>1819</v>
      </c>
      <c r="D249" s="209" t="s">
        <v>1820</v>
      </c>
      <c r="E249" s="210" t="s">
        <v>1821</v>
      </c>
      <c r="F249" s="211" t="s">
        <v>1822</v>
      </c>
    </row>
    <row r="250" spans="1:6">
      <c r="A250" s="208" t="s">
        <v>1823</v>
      </c>
      <c r="B250" s="209" t="s">
        <v>1824</v>
      </c>
      <c r="C250" s="210" t="s">
        <v>1825</v>
      </c>
      <c r="D250" s="209" t="s">
        <v>1826</v>
      </c>
      <c r="E250" s="210" t="s">
        <v>1827</v>
      </c>
      <c r="F250" s="211" t="s">
        <v>1828</v>
      </c>
    </row>
    <row r="251" spans="1:6">
      <c r="A251" s="208" t="s">
        <v>1829</v>
      </c>
      <c r="B251" s="209" t="s">
        <v>1830</v>
      </c>
      <c r="C251" s="210" t="s">
        <v>1831</v>
      </c>
      <c r="D251" s="209" t="s">
        <v>1832</v>
      </c>
      <c r="E251" s="210" t="s">
        <v>1636</v>
      </c>
      <c r="F251" s="211" t="s">
        <v>1833</v>
      </c>
    </row>
    <row r="252" spans="1:6">
      <c r="A252" s="208" t="s">
        <v>1834</v>
      </c>
      <c r="B252" s="209" t="s">
        <v>1835</v>
      </c>
      <c r="C252" s="210" t="s">
        <v>1836</v>
      </c>
      <c r="D252" s="209" t="s">
        <v>1837</v>
      </c>
      <c r="E252" s="210" t="s">
        <v>1838</v>
      </c>
      <c r="F252" s="211" t="s">
        <v>1839</v>
      </c>
    </row>
    <row r="253" spans="1:6">
      <c r="A253" s="208" t="s">
        <v>1840</v>
      </c>
      <c r="B253" s="209" t="s">
        <v>1841</v>
      </c>
      <c r="C253" s="210" t="s">
        <v>1842</v>
      </c>
      <c r="D253" s="209" t="s">
        <v>1843</v>
      </c>
      <c r="E253" s="210" t="s">
        <v>1844</v>
      </c>
      <c r="F253" s="211" t="s">
        <v>1845</v>
      </c>
    </row>
    <row r="254" spans="1:6">
      <c r="A254" s="208" t="s">
        <v>1846</v>
      </c>
      <c r="B254" s="209" t="s">
        <v>1847</v>
      </c>
      <c r="C254" s="210" t="s">
        <v>1848</v>
      </c>
      <c r="D254" s="209" t="s">
        <v>1849</v>
      </c>
      <c r="E254" s="210" t="s">
        <v>1850</v>
      </c>
      <c r="F254" s="211" t="s">
        <v>1851</v>
      </c>
    </row>
    <row r="255" spans="1:6">
      <c r="A255" s="208" t="s">
        <v>1852</v>
      </c>
      <c r="B255" s="209" t="s">
        <v>1853</v>
      </c>
      <c r="C255" s="210" t="s">
        <v>1854</v>
      </c>
      <c r="D255" s="209" t="s">
        <v>1855</v>
      </c>
      <c r="E255" s="210" t="s">
        <v>1856</v>
      </c>
      <c r="F255" s="211" t="s">
        <v>1857</v>
      </c>
    </row>
    <row r="256" spans="1:6">
      <c r="A256" s="208" t="s">
        <v>1858</v>
      </c>
      <c r="B256" s="209" t="s">
        <v>1859</v>
      </c>
      <c r="C256" s="210" t="s">
        <v>1860</v>
      </c>
      <c r="D256" s="209" t="s">
        <v>1861</v>
      </c>
      <c r="E256" s="210" t="s">
        <v>1862</v>
      </c>
      <c r="F256" s="211" t="s">
        <v>1863</v>
      </c>
    </row>
    <row r="257" spans="1:6">
      <c r="A257" s="208" t="s">
        <v>1864</v>
      </c>
      <c r="B257" s="209" t="s">
        <v>1865</v>
      </c>
      <c r="C257" s="210" t="s">
        <v>1866</v>
      </c>
      <c r="D257" s="209" t="s">
        <v>1867</v>
      </c>
      <c r="E257" s="210" t="s">
        <v>1868</v>
      </c>
      <c r="F257" s="211" t="s">
        <v>1869</v>
      </c>
    </row>
    <row r="258" spans="1:6">
      <c r="A258" s="208" t="s">
        <v>1870</v>
      </c>
      <c r="B258" s="209" t="s">
        <v>1871</v>
      </c>
      <c r="C258" s="210" t="s">
        <v>1872</v>
      </c>
      <c r="D258" s="209" t="s">
        <v>1873</v>
      </c>
      <c r="E258" s="210" t="s">
        <v>1874</v>
      </c>
      <c r="F258" s="211" t="s">
        <v>1875</v>
      </c>
    </row>
    <row r="259" spans="1:6">
      <c r="A259" s="208" t="s">
        <v>1876</v>
      </c>
      <c r="B259" s="209" t="s">
        <v>1877</v>
      </c>
      <c r="C259" s="210" t="s">
        <v>1878</v>
      </c>
      <c r="D259" s="209" t="s">
        <v>1879</v>
      </c>
      <c r="E259" s="210" t="s">
        <v>1880</v>
      </c>
      <c r="F259" s="211" t="s">
        <v>1881</v>
      </c>
    </row>
    <row r="260" spans="1:6">
      <c r="A260" s="208" t="s">
        <v>1882</v>
      </c>
      <c r="B260" s="209" t="s">
        <v>1883</v>
      </c>
      <c r="C260" s="210" t="s">
        <v>1884</v>
      </c>
      <c r="D260" s="209" t="s">
        <v>1885</v>
      </c>
      <c r="E260" s="210" t="s">
        <v>1886</v>
      </c>
      <c r="F260" s="211" t="s">
        <v>1887</v>
      </c>
    </row>
    <row r="261" spans="1:6">
      <c r="A261" s="208" t="s">
        <v>1888</v>
      </c>
      <c r="B261" s="209" t="s">
        <v>1889</v>
      </c>
      <c r="C261" s="210" t="s">
        <v>1890</v>
      </c>
      <c r="D261" s="209" t="s">
        <v>1891</v>
      </c>
      <c r="E261" s="210" t="s">
        <v>1892</v>
      </c>
      <c r="F261" s="211" t="s">
        <v>1893</v>
      </c>
    </row>
    <row r="262" spans="1:6">
      <c r="A262" s="208" t="s">
        <v>1894</v>
      </c>
      <c r="B262" s="209" t="s">
        <v>1895</v>
      </c>
      <c r="C262" s="210" t="s">
        <v>1896</v>
      </c>
      <c r="D262" s="209" t="s">
        <v>1897</v>
      </c>
      <c r="E262" s="210" t="s">
        <v>1898</v>
      </c>
      <c r="F262" s="211" t="s">
        <v>1899</v>
      </c>
    </row>
    <row r="263" spans="1:6">
      <c r="A263" s="208" t="s">
        <v>1900</v>
      </c>
      <c r="B263" s="209" t="s">
        <v>1901</v>
      </c>
      <c r="C263" s="210" t="s">
        <v>1902</v>
      </c>
      <c r="D263" s="209" t="s">
        <v>1903</v>
      </c>
      <c r="E263" s="210" t="s">
        <v>1904</v>
      </c>
      <c r="F263" s="211" t="s">
        <v>1905</v>
      </c>
    </row>
    <row r="264" spans="1:6">
      <c r="A264" s="208" t="s">
        <v>1906</v>
      </c>
      <c r="B264" s="209" t="s">
        <v>1907</v>
      </c>
      <c r="C264" s="210" t="s">
        <v>1908</v>
      </c>
      <c r="D264" s="209" t="s">
        <v>1909</v>
      </c>
      <c r="E264" s="210" t="s">
        <v>1910</v>
      </c>
      <c r="F264" s="211" t="s">
        <v>1911</v>
      </c>
    </row>
    <row r="265" spans="1:6">
      <c r="A265" s="208" t="s">
        <v>1912</v>
      </c>
      <c r="B265" s="209" t="s">
        <v>1913</v>
      </c>
      <c r="C265" s="210" t="s">
        <v>1914</v>
      </c>
      <c r="D265" s="209" t="s">
        <v>1915</v>
      </c>
      <c r="E265" s="210" t="s">
        <v>1678</v>
      </c>
      <c r="F265" s="211" t="s">
        <v>1916</v>
      </c>
    </row>
    <row r="266" spans="1:6">
      <c r="A266" s="208" t="s">
        <v>1917</v>
      </c>
      <c r="B266" s="209" t="s">
        <v>1918</v>
      </c>
      <c r="C266" s="210" t="s">
        <v>1919</v>
      </c>
      <c r="D266" s="209" t="s">
        <v>1920</v>
      </c>
      <c r="E266" s="210" t="s">
        <v>1921</v>
      </c>
      <c r="F266" s="211" t="s">
        <v>1922</v>
      </c>
    </row>
    <row r="267" spans="1:6">
      <c r="A267" s="208" t="s">
        <v>1923</v>
      </c>
      <c r="B267" s="209" t="s">
        <v>1924</v>
      </c>
      <c r="C267" s="210" t="s">
        <v>1925</v>
      </c>
      <c r="D267" s="209" t="s">
        <v>1926</v>
      </c>
      <c r="E267" s="210" t="s">
        <v>1927</v>
      </c>
      <c r="F267" s="211" t="s">
        <v>1928</v>
      </c>
    </row>
    <row r="268" spans="1:6">
      <c r="A268" s="208" t="s">
        <v>1929</v>
      </c>
      <c r="B268" s="209" t="s">
        <v>1930</v>
      </c>
      <c r="C268" s="210" t="s">
        <v>1931</v>
      </c>
      <c r="D268" s="209" t="s">
        <v>1932</v>
      </c>
      <c r="E268" s="210" t="s">
        <v>1933</v>
      </c>
      <c r="F268" s="211" t="s">
        <v>1934</v>
      </c>
    </row>
    <row r="269" spans="1:6">
      <c r="A269" s="208" t="s">
        <v>1935</v>
      </c>
      <c r="B269" s="209" t="s">
        <v>1936</v>
      </c>
      <c r="C269" s="210" t="s">
        <v>1937</v>
      </c>
      <c r="D269" s="209" t="s">
        <v>1938</v>
      </c>
      <c r="E269" s="210" t="s">
        <v>1939</v>
      </c>
      <c r="F269" s="211" t="s">
        <v>1940</v>
      </c>
    </row>
    <row r="270" spans="1:6">
      <c r="A270" s="208" t="s">
        <v>1941</v>
      </c>
      <c r="B270" s="209" t="s">
        <v>1942</v>
      </c>
      <c r="C270" s="210" t="s">
        <v>1943</v>
      </c>
      <c r="D270" s="209" t="s">
        <v>1944</v>
      </c>
      <c r="E270" s="210" t="s">
        <v>1945</v>
      </c>
      <c r="F270" s="211" t="s">
        <v>1946</v>
      </c>
    </row>
    <row r="271" spans="1:6">
      <c r="A271" s="208" t="s">
        <v>1947</v>
      </c>
      <c r="B271" s="209" t="s">
        <v>1948</v>
      </c>
      <c r="C271" s="210" t="s">
        <v>1949</v>
      </c>
      <c r="D271" s="209" t="s">
        <v>1950</v>
      </c>
      <c r="E271" s="210" t="s">
        <v>1951</v>
      </c>
      <c r="F271" s="211" t="s">
        <v>1952</v>
      </c>
    </row>
    <row r="272" spans="1:6">
      <c r="A272" s="208" t="s">
        <v>1953</v>
      </c>
      <c r="B272" s="209" t="s">
        <v>1954</v>
      </c>
      <c r="C272" s="210" t="s">
        <v>1955</v>
      </c>
      <c r="D272" s="209" t="s">
        <v>1956</v>
      </c>
      <c r="E272" s="210" t="s">
        <v>1957</v>
      </c>
      <c r="F272" s="211" t="s">
        <v>1958</v>
      </c>
    </row>
    <row r="273" spans="1:6">
      <c r="A273" s="208" t="s">
        <v>1959</v>
      </c>
      <c r="B273" s="209" t="s">
        <v>1960</v>
      </c>
      <c r="C273" s="210" t="s">
        <v>1961</v>
      </c>
      <c r="D273" s="209" t="s">
        <v>1962</v>
      </c>
      <c r="E273" s="210" t="s">
        <v>1963</v>
      </c>
      <c r="F273" s="211" t="s">
        <v>1964</v>
      </c>
    </row>
    <row r="274" spans="1:6">
      <c r="A274" s="208" t="s">
        <v>1965</v>
      </c>
      <c r="B274" s="209" t="s">
        <v>1966</v>
      </c>
      <c r="C274" s="210" t="s">
        <v>1967</v>
      </c>
      <c r="D274" s="209" t="s">
        <v>1968</v>
      </c>
      <c r="E274" s="210" t="s">
        <v>1969</v>
      </c>
      <c r="F274" s="211" t="s">
        <v>1970</v>
      </c>
    </row>
    <row r="275" spans="1:6">
      <c r="A275" s="208" t="s">
        <v>1971</v>
      </c>
      <c r="B275" s="209" t="s">
        <v>1972</v>
      </c>
      <c r="C275" s="210" t="s">
        <v>1973</v>
      </c>
      <c r="D275" s="209" t="s">
        <v>1974</v>
      </c>
      <c r="E275" s="210" t="s">
        <v>1975</v>
      </c>
      <c r="F275" s="211" t="s">
        <v>1976</v>
      </c>
    </row>
    <row r="276" spans="1:6">
      <c r="A276" s="208" t="s">
        <v>1977</v>
      </c>
      <c r="B276" s="209" t="s">
        <v>1978</v>
      </c>
      <c r="C276" s="210" t="s">
        <v>1979</v>
      </c>
      <c r="D276" s="209" t="s">
        <v>1980</v>
      </c>
      <c r="E276" s="210" t="s">
        <v>1981</v>
      </c>
      <c r="F276" s="211" t="s">
        <v>1982</v>
      </c>
    </row>
    <row r="277" spans="1:6">
      <c r="A277" s="208" t="s">
        <v>1983</v>
      </c>
      <c r="B277" s="209" t="s">
        <v>1984</v>
      </c>
      <c r="C277" s="210" t="s">
        <v>1985</v>
      </c>
      <c r="D277" s="209" t="s">
        <v>1986</v>
      </c>
      <c r="E277" s="210" t="s">
        <v>1987</v>
      </c>
      <c r="F277" s="211" t="s">
        <v>1988</v>
      </c>
    </row>
    <row r="278" spans="1:6">
      <c r="A278" s="208" t="s">
        <v>1989</v>
      </c>
      <c r="B278" s="209" t="s">
        <v>1990</v>
      </c>
      <c r="C278" s="210" t="s">
        <v>1991</v>
      </c>
      <c r="D278" s="209" t="s">
        <v>1992</v>
      </c>
      <c r="E278" s="210" t="s">
        <v>1993</v>
      </c>
      <c r="F278" s="211" t="s">
        <v>1994</v>
      </c>
    </row>
    <row r="279" spans="1:6">
      <c r="A279" s="208" t="s">
        <v>1995</v>
      </c>
      <c r="B279" s="209" t="s">
        <v>1996</v>
      </c>
      <c r="C279" s="210" t="s">
        <v>1997</v>
      </c>
      <c r="D279" s="209" t="s">
        <v>1998</v>
      </c>
      <c r="E279" s="210" t="s">
        <v>1999</v>
      </c>
      <c r="F279" s="211" t="s">
        <v>2000</v>
      </c>
    </row>
    <row r="280" spans="1:6">
      <c r="A280" s="208" t="s">
        <v>2001</v>
      </c>
      <c r="B280" s="209" t="s">
        <v>2002</v>
      </c>
      <c r="C280" s="210" t="s">
        <v>2003</v>
      </c>
      <c r="D280" s="209" t="s">
        <v>2004</v>
      </c>
      <c r="E280" s="210" t="s">
        <v>2005</v>
      </c>
      <c r="F280" s="211" t="s">
        <v>2006</v>
      </c>
    </row>
    <row r="281" spans="1:6">
      <c r="A281" s="208" t="s">
        <v>2007</v>
      </c>
      <c r="B281" s="209" t="s">
        <v>2008</v>
      </c>
      <c r="C281" s="210" t="s">
        <v>2009</v>
      </c>
      <c r="D281" s="209" t="s">
        <v>2010</v>
      </c>
      <c r="E281" s="210" t="s">
        <v>1750</v>
      </c>
      <c r="F281" s="211" t="s">
        <v>2011</v>
      </c>
    </row>
    <row r="282" spans="1:6">
      <c r="A282" s="208" t="s">
        <v>2012</v>
      </c>
      <c r="B282" s="209" t="s">
        <v>2013</v>
      </c>
      <c r="C282" s="210" t="s">
        <v>2014</v>
      </c>
      <c r="D282" s="209" t="s">
        <v>2015</v>
      </c>
      <c r="E282" s="210" t="s">
        <v>2016</v>
      </c>
      <c r="F282" s="211" t="s">
        <v>2017</v>
      </c>
    </row>
    <row r="283" spans="1:6">
      <c r="A283" s="208" t="s">
        <v>2018</v>
      </c>
      <c r="B283" s="209" t="s">
        <v>2019</v>
      </c>
      <c r="C283" s="210" t="s">
        <v>2020</v>
      </c>
      <c r="D283" s="209" t="s">
        <v>2021</v>
      </c>
      <c r="E283" s="210" t="s">
        <v>2022</v>
      </c>
      <c r="F283" s="211" t="s">
        <v>2023</v>
      </c>
    </row>
    <row r="284" spans="1:6">
      <c r="A284" s="208" t="s">
        <v>2024</v>
      </c>
      <c r="B284" s="209" t="s">
        <v>2025</v>
      </c>
      <c r="C284" s="210" t="s">
        <v>2026</v>
      </c>
      <c r="D284" s="209" t="s">
        <v>2027</v>
      </c>
      <c r="E284" s="210" t="s">
        <v>2028</v>
      </c>
      <c r="F284" s="211" t="s">
        <v>2029</v>
      </c>
    </row>
    <row r="285" spans="1:6">
      <c r="A285" s="208" t="s">
        <v>2030</v>
      </c>
      <c r="B285" s="209" t="s">
        <v>2031</v>
      </c>
      <c r="C285" s="210" t="s">
        <v>2032</v>
      </c>
      <c r="D285" s="209" t="s">
        <v>2033</v>
      </c>
      <c r="E285" s="210" t="s">
        <v>2034</v>
      </c>
      <c r="F285" s="211" t="s">
        <v>2035</v>
      </c>
    </row>
    <row r="286" spans="1:6">
      <c r="A286" s="208" t="s">
        <v>2036</v>
      </c>
      <c r="B286" s="209" t="s">
        <v>2037</v>
      </c>
      <c r="C286" s="210" t="s">
        <v>2038</v>
      </c>
      <c r="D286" s="209" t="s">
        <v>2039</v>
      </c>
      <c r="E286" s="210" t="s">
        <v>2040</v>
      </c>
      <c r="F286" s="211" t="s">
        <v>2041</v>
      </c>
    </row>
    <row r="287" spans="1:6">
      <c r="A287" s="208" t="s">
        <v>2042</v>
      </c>
      <c r="B287" s="209" t="s">
        <v>2043</v>
      </c>
      <c r="C287" s="210" t="s">
        <v>2044</v>
      </c>
      <c r="D287" s="209" t="s">
        <v>2045</v>
      </c>
      <c r="E287" s="210" t="s">
        <v>2046</v>
      </c>
      <c r="F287" s="211" t="s">
        <v>2047</v>
      </c>
    </row>
    <row r="288" spans="1:6">
      <c r="A288" s="208" t="s">
        <v>2048</v>
      </c>
      <c r="B288" s="209" t="s">
        <v>2049</v>
      </c>
      <c r="C288" s="210" t="s">
        <v>2050</v>
      </c>
      <c r="D288" s="209" t="s">
        <v>2051</v>
      </c>
      <c r="E288" s="210" t="s">
        <v>2052</v>
      </c>
      <c r="F288" s="211" t="s">
        <v>2053</v>
      </c>
    </row>
    <row r="289" spans="1:6">
      <c r="A289" s="212" t="s">
        <v>2054</v>
      </c>
      <c r="B289" s="213" t="s">
        <v>2055</v>
      </c>
      <c r="C289" s="214" t="s">
        <v>2056</v>
      </c>
      <c r="D289" s="213" t="s">
        <v>2057</v>
      </c>
      <c r="E289" s="214" t="s">
        <v>2058</v>
      </c>
      <c r="F289" s="215" t="s">
        <v>2059</v>
      </c>
    </row>
    <row r="290" spans="1:6">
      <c r="A290" s="208" t="s">
        <v>1494</v>
      </c>
      <c r="B290" s="209" t="s">
        <v>1495</v>
      </c>
      <c r="C290" s="210" t="s">
        <v>1496</v>
      </c>
      <c r="D290" s="209" t="s">
        <v>1497</v>
      </c>
      <c r="E290" s="210" t="s">
        <v>1498</v>
      </c>
      <c r="F290" s="211" t="s">
        <v>1499</v>
      </c>
    </row>
    <row r="291" spans="1:6">
      <c r="A291" s="208" t="s">
        <v>1500</v>
      </c>
      <c r="B291" s="209" t="s">
        <v>1501</v>
      </c>
      <c r="C291" s="210" t="s">
        <v>1502</v>
      </c>
      <c r="D291" s="209" t="s">
        <v>1503</v>
      </c>
      <c r="E291" s="210" t="s">
        <v>1504</v>
      </c>
      <c r="F291" s="211" t="s">
        <v>1505</v>
      </c>
    </row>
    <row r="292" spans="1:6">
      <c r="A292" s="208" t="s">
        <v>1506</v>
      </c>
      <c r="B292" s="209" t="s">
        <v>1507</v>
      </c>
      <c r="C292" s="210" t="s">
        <v>1508</v>
      </c>
      <c r="D292" s="209" t="s">
        <v>1509</v>
      </c>
      <c r="E292" s="210" t="s">
        <v>1510</v>
      </c>
      <c r="F292" s="211" t="s">
        <v>1511</v>
      </c>
    </row>
    <row r="293" spans="1:6">
      <c r="A293" s="208" t="s">
        <v>1512</v>
      </c>
      <c r="B293" s="209" t="s">
        <v>1513</v>
      </c>
      <c r="C293" s="210" t="s">
        <v>1514</v>
      </c>
      <c r="D293" s="209" t="s">
        <v>1515</v>
      </c>
      <c r="E293" s="210" t="s">
        <v>1516</v>
      </c>
      <c r="F293" s="211" t="s">
        <v>1517</v>
      </c>
    </row>
    <row r="294" spans="1:6">
      <c r="A294" s="208" t="s">
        <v>1518</v>
      </c>
      <c r="B294" s="209" t="s">
        <v>1519</v>
      </c>
      <c r="C294" s="210" t="s">
        <v>1520</v>
      </c>
      <c r="D294" s="209" t="s">
        <v>1521</v>
      </c>
      <c r="E294" s="210" t="s">
        <v>1522</v>
      </c>
      <c r="F294" s="211" t="s">
        <v>1523</v>
      </c>
    </row>
    <row r="295" spans="1:6">
      <c r="A295" s="208" t="s">
        <v>1524</v>
      </c>
      <c r="B295" s="209" t="s">
        <v>1525</v>
      </c>
      <c r="C295" s="210" t="s">
        <v>1526</v>
      </c>
      <c r="D295" s="209" t="s">
        <v>1527</v>
      </c>
      <c r="E295" s="210" t="s">
        <v>1528</v>
      </c>
      <c r="F295" s="211" t="s">
        <v>1529</v>
      </c>
    </row>
    <row r="296" spans="1:6">
      <c r="A296" s="208" t="s">
        <v>1530</v>
      </c>
      <c r="B296" s="209" t="s">
        <v>1531</v>
      </c>
      <c r="C296" s="210" t="s">
        <v>1532</v>
      </c>
      <c r="D296" s="209" t="s">
        <v>1533</v>
      </c>
      <c r="E296" s="210" t="s">
        <v>1534</v>
      </c>
      <c r="F296" s="211" t="s">
        <v>1535</v>
      </c>
    </row>
    <row r="297" spans="1:6">
      <c r="A297" s="208" t="s">
        <v>1536</v>
      </c>
      <c r="B297" s="209" t="s">
        <v>1537</v>
      </c>
      <c r="C297" s="210" t="s">
        <v>1538</v>
      </c>
      <c r="D297" s="209" t="s">
        <v>1539</v>
      </c>
      <c r="E297" s="210" t="s">
        <v>1540</v>
      </c>
      <c r="F297" s="211" t="s">
        <v>1541</v>
      </c>
    </row>
    <row r="298" spans="1:6">
      <c r="A298" s="208" t="s">
        <v>1542</v>
      </c>
      <c r="B298" s="209" t="s">
        <v>1543</v>
      </c>
      <c r="C298" s="210" t="s">
        <v>1544</v>
      </c>
      <c r="D298" s="209" t="s">
        <v>1545</v>
      </c>
      <c r="E298" s="210" t="s">
        <v>1546</v>
      </c>
      <c r="F298" s="211" t="s">
        <v>1547</v>
      </c>
    </row>
    <row r="299" spans="1:6">
      <c r="A299" s="208" t="s">
        <v>1548</v>
      </c>
      <c r="B299" s="209" t="s">
        <v>1549</v>
      </c>
      <c r="C299" s="210" t="s">
        <v>1550</v>
      </c>
      <c r="D299" s="209" t="s">
        <v>1551</v>
      </c>
      <c r="E299" s="210" t="s">
        <v>1552</v>
      </c>
      <c r="F299" s="211" t="s">
        <v>1553</v>
      </c>
    </row>
    <row r="300" spans="1:6">
      <c r="A300" s="208" t="s">
        <v>1554</v>
      </c>
      <c r="B300" s="209" t="s">
        <v>1555</v>
      </c>
      <c r="C300" s="210" t="s">
        <v>1556</v>
      </c>
      <c r="D300" s="209" t="s">
        <v>1557</v>
      </c>
      <c r="E300" s="210" t="s">
        <v>1558</v>
      </c>
      <c r="F300" s="211" t="s">
        <v>1559</v>
      </c>
    </row>
    <row r="301" spans="1:6">
      <c r="A301" s="208" t="s">
        <v>1560</v>
      </c>
      <c r="B301" s="209" t="s">
        <v>1561</v>
      </c>
      <c r="C301" s="210" t="s">
        <v>1562</v>
      </c>
      <c r="D301" s="209" t="s">
        <v>1563</v>
      </c>
      <c r="E301" s="210" t="s">
        <v>1564</v>
      </c>
      <c r="F301" s="211" t="s">
        <v>1565</v>
      </c>
    </row>
    <row r="302" spans="1:6">
      <c r="A302" s="208" t="s">
        <v>1566</v>
      </c>
      <c r="B302" s="209" t="s">
        <v>1567</v>
      </c>
      <c r="C302" s="210" t="s">
        <v>1568</v>
      </c>
      <c r="D302" s="209" t="s">
        <v>1569</v>
      </c>
      <c r="E302" s="210" t="s">
        <v>1570</v>
      </c>
      <c r="F302" s="211" t="s">
        <v>1571</v>
      </c>
    </row>
    <row r="303" spans="1:6">
      <c r="A303" s="208" t="s">
        <v>1572</v>
      </c>
      <c r="B303" s="209" t="s">
        <v>1573</v>
      </c>
      <c r="C303" s="210" t="s">
        <v>1574</v>
      </c>
      <c r="D303" s="209" t="s">
        <v>1575</v>
      </c>
      <c r="E303" s="210" t="s">
        <v>1576</v>
      </c>
      <c r="F303" s="211" t="s">
        <v>1577</v>
      </c>
    </row>
    <row r="304" spans="1:6">
      <c r="A304" s="208" t="s">
        <v>1578</v>
      </c>
      <c r="B304" s="209" t="s">
        <v>1579</v>
      </c>
      <c r="C304" s="210" t="s">
        <v>1580</v>
      </c>
      <c r="D304" s="209" t="s">
        <v>1581</v>
      </c>
      <c r="E304" s="210" t="s">
        <v>1582</v>
      </c>
      <c r="F304" s="211" t="s">
        <v>1583</v>
      </c>
    </row>
    <row r="305" spans="1:6">
      <c r="A305" s="208" t="s">
        <v>1584</v>
      </c>
      <c r="B305" s="209" t="s">
        <v>1585</v>
      </c>
      <c r="C305" s="210" t="s">
        <v>1586</v>
      </c>
      <c r="D305" s="209" t="s">
        <v>1587</v>
      </c>
      <c r="E305" s="210" t="s">
        <v>1588</v>
      </c>
      <c r="F305" s="211" t="s">
        <v>1589</v>
      </c>
    </row>
    <row r="306" spans="1:6">
      <c r="A306" s="208" t="s">
        <v>1590</v>
      </c>
      <c r="B306" s="209" t="s">
        <v>1591</v>
      </c>
      <c r="C306" s="210" t="s">
        <v>1592</v>
      </c>
      <c r="D306" s="209" t="s">
        <v>1593</v>
      </c>
      <c r="E306" s="210" t="s">
        <v>1594</v>
      </c>
      <c r="F306" s="211" t="s">
        <v>1595</v>
      </c>
    </row>
    <row r="307" spans="1:6">
      <c r="A307" s="208" t="s">
        <v>1596</v>
      </c>
      <c r="B307" s="209" t="s">
        <v>1597</v>
      </c>
      <c r="C307" s="210" t="s">
        <v>1598</v>
      </c>
      <c r="D307" s="209" t="s">
        <v>1599</v>
      </c>
      <c r="E307" s="210" t="s">
        <v>1600</v>
      </c>
      <c r="F307" s="211" t="s">
        <v>1601</v>
      </c>
    </row>
    <row r="308" spans="1:6">
      <c r="A308" s="208" t="s">
        <v>1602</v>
      </c>
      <c r="B308" s="209" t="s">
        <v>1603</v>
      </c>
      <c r="C308" s="210" t="s">
        <v>1604</v>
      </c>
      <c r="D308" s="209" t="s">
        <v>1605</v>
      </c>
      <c r="E308" s="210" t="s">
        <v>1606</v>
      </c>
      <c r="F308" s="211" t="s">
        <v>1607</v>
      </c>
    </row>
    <row r="309" spans="1:6">
      <c r="A309" s="208" t="s">
        <v>1608</v>
      </c>
      <c r="B309" s="209" t="s">
        <v>1609</v>
      </c>
      <c r="C309" s="210" t="s">
        <v>1610</v>
      </c>
      <c r="D309" s="209" t="s">
        <v>1611</v>
      </c>
      <c r="E309" s="210" t="s">
        <v>1612</v>
      </c>
      <c r="F309" s="211" t="s">
        <v>1613</v>
      </c>
    </row>
    <row r="310" spans="1:6">
      <c r="A310" s="208" t="s">
        <v>1614</v>
      </c>
      <c r="B310" s="209" t="s">
        <v>1615</v>
      </c>
      <c r="C310" s="210" t="s">
        <v>1616</v>
      </c>
      <c r="D310" s="209" t="s">
        <v>1617</v>
      </c>
      <c r="E310" s="210" t="s">
        <v>1618</v>
      </c>
      <c r="F310" s="211" t="s">
        <v>1619</v>
      </c>
    </row>
    <row r="311" spans="1:6">
      <c r="A311" s="208" t="s">
        <v>1620</v>
      </c>
      <c r="B311" s="209" t="s">
        <v>1621</v>
      </c>
      <c r="C311" s="210" t="s">
        <v>1622</v>
      </c>
      <c r="D311" s="209" t="s">
        <v>1623</v>
      </c>
      <c r="E311" s="210" t="s">
        <v>1624</v>
      </c>
      <c r="F311" s="211" t="s">
        <v>1625</v>
      </c>
    </row>
    <row r="312" spans="1:6">
      <c r="A312" s="208" t="s">
        <v>1626</v>
      </c>
      <c r="B312" s="209" t="s">
        <v>1627</v>
      </c>
      <c r="C312" s="210" t="s">
        <v>1628</v>
      </c>
      <c r="D312" s="209" t="s">
        <v>1629</v>
      </c>
      <c r="E312" s="210" t="s">
        <v>1630</v>
      </c>
      <c r="F312" s="211" t="s">
        <v>1631</v>
      </c>
    </row>
    <row r="313" spans="1:6">
      <c r="A313" s="208" t="s">
        <v>1632</v>
      </c>
      <c r="B313" s="209" t="s">
        <v>1633</v>
      </c>
      <c r="C313" s="210" t="s">
        <v>1634</v>
      </c>
      <c r="D313" s="209" t="s">
        <v>1635</v>
      </c>
      <c r="E313" s="210" t="s">
        <v>1636</v>
      </c>
      <c r="F313" s="211" t="s">
        <v>1637</v>
      </c>
    </row>
    <row r="314" spans="1:6">
      <c r="A314" s="208" t="s">
        <v>1638</v>
      </c>
      <c r="B314" s="209" t="s">
        <v>1639</v>
      </c>
      <c r="C314" s="210" t="s">
        <v>1640</v>
      </c>
      <c r="D314" s="209" t="s">
        <v>1641</v>
      </c>
      <c r="E314" s="210" t="s">
        <v>1642</v>
      </c>
      <c r="F314" s="211" t="s">
        <v>1643</v>
      </c>
    </row>
    <row r="315" spans="1:6">
      <c r="A315" s="208" t="s">
        <v>1644</v>
      </c>
      <c r="B315" s="209" t="s">
        <v>1645</v>
      </c>
      <c r="C315" s="210" t="s">
        <v>1646</v>
      </c>
      <c r="D315" s="209" t="s">
        <v>1647</v>
      </c>
      <c r="E315" s="210" t="s">
        <v>1648</v>
      </c>
      <c r="F315" s="211" t="s">
        <v>1649</v>
      </c>
    </row>
    <row r="316" spans="1:6">
      <c r="A316" s="208" t="s">
        <v>1650</v>
      </c>
      <c r="B316" s="209" t="s">
        <v>1651</v>
      </c>
      <c r="C316" s="210" t="s">
        <v>1652</v>
      </c>
      <c r="D316" s="209" t="s">
        <v>1653</v>
      </c>
      <c r="E316" s="210" t="s">
        <v>1654</v>
      </c>
      <c r="F316" s="211" t="s">
        <v>1655</v>
      </c>
    </row>
    <row r="317" spans="1:6">
      <c r="A317" s="208" t="s">
        <v>1656</v>
      </c>
      <c r="B317" s="209" t="s">
        <v>1657</v>
      </c>
      <c r="C317" s="210" t="s">
        <v>1658</v>
      </c>
      <c r="D317" s="209" t="s">
        <v>1659</v>
      </c>
      <c r="E317" s="210" t="s">
        <v>1660</v>
      </c>
      <c r="F317" s="211" t="s">
        <v>1661</v>
      </c>
    </row>
    <row r="318" spans="1:6">
      <c r="A318" s="208" t="s">
        <v>1662</v>
      </c>
      <c r="B318" s="209" t="s">
        <v>1663</v>
      </c>
      <c r="C318" s="210" t="s">
        <v>1664</v>
      </c>
      <c r="D318" s="209" t="s">
        <v>1665</v>
      </c>
      <c r="E318" s="210" t="s">
        <v>1666</v>
      </c>
      <c r="F318" s="211" t="s">
        <v>1667</v>
      </c>
    </row>
    <row r="319" spans="1:6">
      <c r="A319" s="208" t="s">
        <v>1668</v>
      </c>
      <c r="B319" s="209" t="s">
        <v>1669</v>
      </c>
      <c r="C319" s="210" t="s">
        <v>1670</v>
      </c>
      <c r="D319" s="209" t="s">
        <v>1671</v>
      </c>
      <c r="E319" s="210" t="s">
        <v>1672</v>
      </c>
      <c r="F319" s="211" t="s">
        <v>1673</v>
      </c>
    </row>
    <row r="320" spans="1:6">
      <c r="A320" s="208" t="s">
        <v>1674</v>
      </c>
      <c r="B320" s="209" t="s">
        <v>1675</v>
      </c>
      <c r="C320" s="210" t="s">
        <v>1676</v>
      </c>
      <c r="D320" s="209" t="s">
        <v>1677</v>
      </c>
      <c r="E320" s="210" t="s">
        <v>1678</v>
      </c>
      <c r="F320" s="211" t="s">
        <v>1679</v>
      </c>
    </row>
    <row r="321" spans="1:6">
      <c r="A321" s="208" t="s">
        <v>1680</v>
      </c>
      <c r="B321" s="209" t="s">
        <v>1681</v>
      </c>
      <c r="C321" s="210" t="s">
        <v>1682</v>
      </c>
      <c r="D321" s="209" t="s">
        <v>1683</v>
      </c>
      <c r="E321" s="210" t="s">
        <v>1684</v>
      </c>
      <c r="F321" s="211" t="s">
        <v>1685</v>
      </c>
    </row>
    <row r="322" spans="1:6">
      <c r="A322" s="208" t="s">
        <v>1686</v>
      </c>
      <c r="B322" s="209" t="s">
        <v>1687</v>
      </c>
      <c r="C322" s="210" t="s">
        <v>1688</v>
      </c>
      <c r="D322" s="209" t="s">
        <v>1689</v>
      </c>
      <c r="E322" s="210" t="s">
        <v>1690</v>
      </c>
      <c r="F322" s="211" t="s">
        <v>1691</v>
      </c>
    </row>
    <row r="323" spans="1:6">
      <c r="A323" s="208" t="s">
        <v>1692</v>
      </c>
      <c r="B323" s="209" t="s">
        <v>1693</v>
      </c>
      <c r="C323" s="210" t="s">
        <v>1694</v>
      </c>
      <c r="D323" s="209" t="s">
        <v>1695</v>
      </c>
      <c r="E323" s="210" t="s">
        <v>1696</v>
      </c>
      <c r="F323" s="211" t="s">
        <v>1697</v>
      </c>
    </row>
    <row r="324" spans="1:6">
      <c r="A324" s="208" t="s">
        <v>1698</v>
      </c>
      <c r="B324" s="209" t="s">
        <v>1699</v>
      </c>
      <c r="C324" s="210" t="s">
        <v>1700</v>
      </c>
      <c r="D324" s="209" t="s">
        <v>1701</v>
      </c>
      <c r="E324" s="210" t="s">
        <v>1702</v>
      </c>
      <c r="F324" s="211" t="s">
        <v>1703</v>
      </c>
    </row>
    <row r="325" spans="1:6">
      <c r="A325" s="208" t="s">
        <v>1704</v>
      </c>
      <c r="B325" s="209" t="s">
        <v>1705</v>
      </c>
      <c r="C325" s="210" t="s">
        <v>1706</v>
      </c>
      <c r="D325" s="209" t="s">
        <v>1707</v>
      </c>
      <c r="E325" s="210" t="s">
        <v>1708</v>
      </c>
      <c r="F325" s="211" t="s">
        <v>1709</v>
      </c>
    </row>
    <row r="326" spans="1:6">
      <c r="A326" s="208" t="s">
        <v>1710</v>
      </c>
      <c r="B326" s="209" t="s">
        <v>1711</v>
      </c>
      <c r="C326" s="210" t="s">
        <v>1712</v>
      </c>
      <c r="D326" s="209" t="s">
        <v>1713</v>
      </c>
      <c r="E326" s="210" t="s">
        <v>1714</v>
      </c>
      <c r="F326" s="211" t="s">
        <v>1715</v>
      </c>
    </row>
    <row r="327" spans="1:6">
      <c r="A327" s="208" t="s">
        <v>1716</v>
      </c>
      <c r="B327" s="209" t="s">
        <v>1717</v>
      </c>
      <c r="C327" s="210" t="s">
        <v>1718</v>
      </c>
      <c r="D327" s="209" t="s">
        <v>1719</v>
      </c>
      <c r="E327" s="210" t="s">
        <v>1720</v>
      </c>
      <c r="F327" s="211" t="s">
        <v>1721</v>
      </c>
    </row>
    <row r="328" spans="1:6">
      <c r="A328" s="208" t="s">
        <v>1722</v>
      </c>
      <c r="B328" s="209" t="s">
        <v>1723</v>
      </c>
      <c r="C328" s="210" t="s">
        <v>1724</v>
      </c>
      <c r="D328" s="209" t="s">
        <v>1725</v>
      </c>
      <c r="E328" s="210" t="s">
        <v>1726</v>
      </c>
      <c r="F328" s="211" t="s">
        <v>1727</v>
      </c>
    </row>
    <row r="329" spans="1:6">
      <c r="A329" s="208" t="s">
        <v>1728</v>
      </c>
      <c r="B329" s="209" t="s">
        <v>1729</v>
      </c>
      <c r="C329" s="210" t="s">
        <v>1730</v>
      </c>
      <c r="D329" s="209" t="s">
        <v>1731</v>
      </c>
      <c r="E329" s="210" t="s">
        <v>1732</v>
      </c>
      <c r="F329" s="211" t="s">
        <v>1733</v>
      </c>
    </row>
    <row r="330" spans="1:6">
      <c r="A330" s="208" t="s">
        <v>1734</v>
      </c>
      <c r="B330" s="209" t="s">
        <v>1735</v>
      </c>
      <c r="C330" s="210" t="s">
        <v>1736</v>
      </c>
      <c r="D330" s="209" t="s">
        <v>1737</v>
      </c>
      <c r="E330" s="210" t="s">
        <v>1738</v>
      </c>
      <c r="F330" s="211" t="s">
        <v>1739</v>
      </c>
    </row>
    <row r="331" spans="1:6">
      <c r="A331" s="208" t="s">
        <v>1740</v>
      </c>
      <c r="B331" s="209" t="s">
        <v>1741</v>
      </c>
      <c r="C331" s="210" t="s">
        <v>1742</v>
      </c>
      <c r="D331" s="209" t="s">
        <v>1743</v>
      </c>
      <c r="E331" s="210" t="s">
        <v>1744</v>
      </c>
      <c r="F331" s="211" t="s">
        <v>1745</v>
      </c>
    </row>
    <row r="332" spans="1:6">
      <c r="A332" s="208" t="s">
        <v>1746</v>
      </c>
      <c r="B332" s="209" t="s">
        <v>1747</v>
      </c>
      <c r="C332" s="210" t="s">
        <v>1748</v>
      </c>
      <c r="D332" s="209" t="s">
        <v>1749</v>
      </c>
      <c r="E332" s="210" t="s">
        <v>1750</v>
      </c>
      <c r="F332" s="211" t="s">
        <v>1751</v>
      </c>
    </row>
    <row r="333" spans="1:6">
      <c r="A333" s="208" t="s">
        <v>1752</v>
      </c>
      <c r="B333" s="209" t="s">
        <v>1753</v>
      </c>
      <c r="C333" s="210" t="s">
        <v>1754</v>
      </c>
      <c r="D333" s="209" t="s">
        <v>1755</v>
      </c>
      <c r="E333" s="210" t="s">
        <v>1756</v>
      </c>
      <c r="F333" s="211" t="s">
        <v>1757</v>
      </c>
    </row>
    <row r="334" spans="1:6">
      <c r="A334" s="208" t="s">
        <v>1758</v>
      </c>
      <c r="B334" s="209" t="s">
        <v>1759</v>
      </c>
      <c r="C334" s="210" t="s">
        <v>1760</v>
      </c>
      <c r="D334" s="209" t="s">
        <v>1761</v>
      </c>
      <c r="E334" s="210" t="s">
        <v>1762</v>
      </c>
      <c r="F334" s="211" t="s">
        <v>1763</v>
      </c>
    </row>
    <row r="335" spans="1:6">
      <c r="A335" s="208" t="s">
        <v>1764</v>
      </c>
      <c r="B335" s="209" t="s">
        <v>1765</v>
      </c>
      <c r="C335" s="210" t="s">
        <v>1766</v>
      </c>
      <c r="D335" s="209" t="s">
        <v>1767</v>
      </c>
      <c r="E335" s="210" t="s">
        <v>1768</v>
      </c>
      <c r="F335" s="211" t="s">
        <v>1769</v>
      </c>
    </row>
    <row r="336" spans="1:6">
      <c r="A336" s="208" t="s">
        <v>1770</v>
      </c>
      <c r="B336" s="209" t="s">
        <v>1771</v>
      </c>
      <c r="C336" s="210" t="s">
        <v>1772</v>
      </c>
      <c r="D336" s="209" t="s">
        <v>1773</v>
      </c>
      <c r="E336" s="210" t="s">
        <v>1774</v>
      </c>
      <c r="F336" s="211" t="s">
        <v>1775</v>
      </c>
    </row>
    <row r="337" spans="1:6">
      <c r="A337" s="208" t="s">
        <v>1776</v>
      </c>
      <c r="B337" s="209" t="s">
        <v>1777</v>
      </c>
      <c r="C337" s="210" t="s">
        <v>1778</v>
      </c>
      <c r="D337" s="209" t="s">
        <v>1779</v>
      </c>
      <c r="E337" s="210" t="s">
        <v>1780</v>
      </c>
      <c r="F337" s="211" t="s">
        <v>1781</v>
      </c>
    </row>
    <row r="338" spans="1:6">
      <c r="A338" s="208" t="s">
        <v>1782</v>
      </c>
      <c r="B338" s="209" t="s">
        <v>1783</v>
      </c>
      <c r="C338" s="210" t="s">
        <v>1784</v>
      </c>
      <c r="D338" s="209" t="s">
        <v>1785</v>
      </c>
      <c r="E338" s="210" t="s">
        <v>1786</v>
      </c>
      <c r="F338" s="211" t="s">
        <v>1787</v>
      </c>
    </row>
    <row r="339" spans="1:6">
      <c r="A339" s="208" t="s">
        <v>1788</v>
      </c>
      <c r="B339" s="209" t="s">
        <v>1789</v>
      </c>
      <c r="C339" s="210" t="s">
        <v>1790</v>
      </c>
      <c r="D339" s="209" t="s">
        <v>1791</v>
      </c>
      <c r="E339" s="210" t="s">
        <v>1792</v>
      </c>
      <c r="F339" s="211" t="s">
        <v>1793</v>
      </c>
    </row>
    <row r="340" spans="1:6">
      <c r="A340" s="208" t="s">
        <v>1794</v>
      </c>
      <c r="B340" s="209" t="s">
        <v>1795</v>
      </c>
      <c r="C340" s="210" t="s">
        <v>1796</v>
      </c>
      <c r="D340" s="209" t="s">
        <v>1797</v>
      </c>
      <c r="E340" s="210" t="s">
        <v>1798</v>
      </c>
      <c r="F340" s="211" t="s">
        <v>1799</v>
      </c>
    </row>
    <row r="341" spans="1:6">
      <c r="A341" s="208" t="s">
        <v>1800</v>
      </c>
      <c r="B341" s="209" t="s">
        <v>1801</v>
      </c>
      <c r="C341" s="210" t="s">
        <v>1802</v>
      </c>
      <c r="D341" s="209" t="s">
        <v>1803</v>
      </c>
      <c r="E341" s="210" t="s">
        <v>1528</v>
      </c>
      <c r="F341" s="211" t="s">
        <v>1804</v>
      </c>
    </row>
    <row r="342" spans="1:6">
      <c r="A342" s="208" t="s">
        <v>1805</v>
      </c>
      <c r="B342" s="209" t="s">
        <v>1806</v>
      </c>
      <c r="C342" s="210" t="s">
        <v>1807</v>
      </c>
      <c r="D342" s="209" t="s">
        <v>1808</v>
      </c>
      <c r="E342" s="210" t="s">
        <v>1809</v>
      </c>
      <c r="F342" s="211" t="s">
        <v>1810</v>
      </c>
    </row>
    <row r="343" spans="1:6">
      <c r="A343" s="208" t="s">
        <v>1811</v>
      </c>
      <c r="B343" s="209" t="s">
        <v>1812</v>
      </c>
      <c r="C343" s="210" t="s">
        <v>1813</v>
      </c>
      <c r="D343" s="209" t="s">
        <v>1814</v>
      </c>
      <c r="E343" s="210" t="s">
        <v>1815</v>
      </c>
      <c r="F343" s="211" t="s">
        <v>1816</v>
      </c>
    </row>
    <row r="344" spans="1:6">
      <c r="A344" s="208" t="s">
        <v>1817</v>
      </c>
      <c r="B344" s="209" t="s">
        <v>1818</v>
      </c>
      <c r="C344" s="210" t="s">
        <v>1819</v>
      </c>
      <c r="D344" s="209" t="s">
        <v>1820</v>
      </c>
      <c r="E344" s="210" t="s">
        <v>1821</v>
      </c>
      <c r="F344" s="211" t="s">
        <v>1822</v>
      </c>
    </row>
    <row r="345" spans="1:6">
      <c r="A345" s="208" t="s">
        <v>1823</v>
      </c>
      <c r="B345" s="209" t="s">
        <v>1824</v>
      </c>
      <c r="C345" s="210" t="s">
        <v>1825</v>
      </c>
      <c r="D345" s="209" t="s">
        <v>1826</v>
      </c>
      <c r="E345" s="210" t="s">
        <v>1827</v>
      </c>
      <c r="F345" s="211" t="s">
        <v>1828</v>
      </c>
    </row>
    <row r="346" spans="1:6">
      <c r="A346" s="208" t="s">
        <v>1829</v>
      </c>
      <c r="B346" s="209" t="s">
        <v>1830</v>
      </c>
      <c r="C346" s="210" t="s">
        <v>1831</v>
      </c>
      <c r="D346" s="209" t="s">
        <v>1832</v>
      </c>
      <c r="E346" s="210" t="s">
        <v>1636</v>
      </c>
      <c r="F346" s="211" t="s">
        <v>1833</v>
      </c>
    </row>
    <row r="347" spans="1:6">
      <c r="A347" s="208" t="s">
        <v>1834</v>
      </c>
      <c r="B347" s="209" t="s">
        <v>1835</v>
      </c>
      <c r="C347" s="210" t="s">
        <v>1836</v>
      </c>
      <c r="D347" s="209" t="s">
        <v>1837</v>
      </c>
      <c r="E347" s="210" t="s">
        <v>1838</v>
      </c>
      <c r="F347" s="211" t="s">
        <v>1839</v>
      </c>
    </row>
    <row r="348" spans="1:6">
      <c r="A348" s="208" t="s">
        <v>1840</v>
      </c>
      <c r="B348" s="209" t="s">
        <v>1841</v>
      </c>
      <c r="C348" s="210" t="s">
        <v>1842</v>
      </c>
      <c r="D348" s="209" t="s">
        <v>1843</v>
      </c>
      <c r="E348" s="210" t="s">
        <v>1844</v>
      </c>
      <c r="F348" s="211" t="s">
        <v>1845</v>
      </c>
    </row>
    <row r="349" spans="1:6">
      <c r="A349" s="208" t="s">
        <v>1846</v>
      </c>
      <c r="B349" s="209" t="s">
        <v>1847</v>
      </c>
      <c r="C349" s="210" t="s">
        <v>1848</v>
      </c>
      <c r="D349" s="209" t="s">
        <v>1849</v>
      </c>
      <c r="E349" s="210" t="s">
        <v>1850</v>
      </c>
      <c r="F349" s="211" t="s">
        <v>1851</v>
      </c>
    </row>
    <row r="350" spans="1:6">
      <c r="A350" s="208" t="s">
        <v>1852</v>
      </c>
      <c r="B350" s="209" t="s">
        <v>1853</v>
      </c>
      <c r="C350" s="210" t="s">
        <v>1854</v>
      </c>
      <c r="D350" s="209" t="s">
        <v>1855</v>
      </c>
      <c r="E350" s="210" t="s">
        <v>1856</v>
      </c>
      <c r="F350" s="211" t="s">
        <v>1857</v>
      </c>
    </row>
    <row r="351" spans="1:6">
      <c r="A351" s="208" t="s">
        <v>1858</v>
      </c>
      <c r="B351" s="209" t="s">
        <v>1859</v>
      </c>
      <c r="C351" s="210" t="s">
        <v>1860</v>
      </c>
      <c r="D351" s="209" t="s">
        <v>1861</v>
      </c>
      <c r="E351" s="210" t="s">
        <v>1862</v>
      </c>
      <c r="F351" s="211" t="s">
        <v>1863</v>
      </c>
    </row>
    <row r="352" spans="1:6">
      <c r="A352" s="208" t="s">
        <v>1864</v>
      </c>
      <c r="B352" s="209" t="s">
        <v>1865</v>
      </c>
      <c r="C352" s="210" t="s">
        <v>1866</v>
      </c>
      <c r="D352" s="209" t="s">
        <v>1867</v>
      </c>
      <c r="E352" s="210" t="s">
        <v>1868</v>
      </c>
      <c r="F352" s="211" t="s">
        <v>1869</v>
      </c>
    </row>
    <row r="353" spans="1:6">
      <c r="A353" s="208" t="s">
        <v>1870</v>
      </c>
      <c r="B353" s="209" t="s">
        <v>1871</v>
      </c>
      <c r="C353" s="210" t="s">
        <v>1872</v>
      </c>
      <c r="D353" s="209" t="s">
        <v>1873</v>
      </c>
      <c r="E353" s="210" t="s">
        <v>1874</v>
      </c>
      <c r="F353" s="211" t="s">
        <v>1875</v>
      </c>
    </row>
    <row r="354" spans="1:6">
      <c r="A354" s="208" t="s">
        <v>1876</v>
      </c>
      <c r="B354" s="209" t="s">
        <v>1877</v>
      </c>
      <c r="C354" s="210" t="s">
        <v>1878</v>
      </c>
      <c r="D354" s="209" t="s">
        <v>1879</v>
      </c>
      <c r="E354" s="210" t="s">
        <v>1880</v>
      </c>
      <c r="F354" s="211" t="s">
        <v>1881</v>
      </c>
    </row>
    <row r="355" spans="1:6">
      <c r="A355" s="208" t="s">
        <v>1882</v>
      </c>
      <c r="B355" s="209" t="s">
        <v>1883</v>
      </c>
      <c r="C355" s="210" t="s">
        <v>1884</v>
      </c>
      <c r="D355" s="209" t="s">
        <v>1885</v>
      </c>
      <c r="E355" s="210" t="s">
        <v>1886</v>
      </c>
      <c r="F355" s="211" t="s">
        <v>1887</v>
      </c>
    </row>
    <row r="356" spans="1:6">
      <c r="A356" s="208" t="s">
        <v>1888</v>
      </c>
      <c r="B356" s="209" t="s">
        <v>1889</v>
      </c>
      <c r="C356" s="210" t="s">
        <v>1890</v>
      </c>
      <c r="D356" s="209" t="s">
        <v>1891</v>
      </c>
      <c r="E356" s="210" t="s">
        <v>1892</v>
      </c>
      <c r="F356" s="211" t="s">
        <v>1893</v>
      </c>
    </row>
    <row r="357" spans="1:6">
      <c r="A357" s="208" t="s">
        <v>1894</v>
      </c>
      <c r="B357" s="209" t="s">
        <v>1895</v>
      </c>
      <c r="C357" s="210" t="s">
        <v>1896</v>
      </c>
      <c r="D357" s="209" t="s">
        <v>1897</v>
      </c>
      <c r="E357" s="210" t="s">
        <v>1898</v>
      </c>
      <c r="F357" s="211" t="s">
        <v>1899</v>
      </c>
    </row>
    <row r="358" spans="1:6">
      <c r="A358" s="208" t="s">
        <v>1900</v>
      </c>
      <c r="B358" s="209" t="s">
        <v>1901</v>
      </c>
      <c r="C358" s="210" t="s">
        <v>1902</v>
      </c>
      <c r="D358" s="209" t="s">
        <v>1903</v>
      </c>
      <c r="E358" s="210" t="s">
        <v>1904</v>
      </c>
      <c r="F358" s="211" t="s">
        <v>1905</v>
      </c>
    </row>
    <row r="359" spans="1:6">
      <c r="A359" s="208" t="s">
        <v>1906</v>
      </c>
      <c r="B359" s="209" t="s">
        <v>1907</v>
      </c>
      <c r="C359" s="210" t="s">
        <v>1908</v>
      </c>
      <c r="D359" s="209" t="s">
        <v>1909</v>
      </c>
      <c r="E359" s="210" t="s">
        <v>1910</v>
      </c>
      <c r="F359" s="211" t="s">
        <v>1911</v>
      </c>
    </row>
    <row r="360" spans="1:6">
      <c r="A360" s="208" t="s">
        <v>1912</v>
      </c>
      <c r="B360" s="209" t="s">
        <v>1913</v>
      </c>
      <c r="C360" s="210" t="s">
        <v>1914</v>
      </c>
      <c r="D360" s="209" t="s">
        <v>1915</v>
      </c>
      <c r="E360" s="210" t="s">
        <v>1678</v>
      </c>
      <c r="F360" s="211" t="s">
        <v>1916</v>
      </c>
    </row>
    <row r="361" spans="1:6">
      <c r="A361" s="208" t="s">
        <v>1917</v>
      </c>
      <c r="B361" s="209" t="s">
        <v>1918</v>
      </c>
      <c r="C361" s="210" t="s">
        <v>1919</v>
      </c>
      <c r="D361" s="209" t="s">
        <v>1920</v>
      </c>
      <c r="E361" s="210" t="s">
        <v>1921</v>
      </c>
      <c r="F361" s="211" t="s">
        <v>1922</v>
      </c>
    </row>
    <row r="362" spans="1:6">
      <c r="A362" s="208" t="s">
        <v>1923</v>
      </c>
      <c r="B362" s="209" t="s">
        <v>1924</v>
      </c>
      <c r="C362" s="210" t="s">
        <v>1925</v>
      </c>
      <c r="D362" s="209" t="s">
        <v>1926</v>
      </c>
      <c r="E362" s="210" t="s">
        <v>1927</v>
      </c>
      <c r="F362" s="211" t="s">
        <v>1928</v>
      </c>
    </row>
    <row r="363" spans="1:6">
      <c r="A363" s="208" t="s">
        <v>1929</v>
      </c>
      <c r="B363" s="209" t="s">
        <v>1930</v>
      </c>
      <c r="C363" s="210" t="s">
        <v>1931</v>
      </c>
      <c r="D363" s="209" t="s">
        <v>1932</v>
      </c>
      <c r="E363" s="210" t="s">
        <v>1933</v>
      </c>
      <c r="F363" s="211" t="s">
        <v>1934</v>
      </c>
    </row>
    <row r="364" spans="1:6">
      <c r="A364" s="208" t="s">
        <v>1935</v>
      </c>
      <c r="B364" s="209" t="s">
        <v>1936</v>
      </c>
      <c r="C364" s="210" t="s">
        <v>1937</v>
      </c>
      <c r="D364" s="209" t="s">
        <v>1938</v>
      </c>
      <c r="E364" s="210" t="s">
        <v>1939</v>
      </c>
      <c r="F364" s="211" t="s">
        <v>1940</v>
      </c>
    </row>
    <row r="365" spans="1:6">
      <c r="A365" s="208" t="s">
        <v>1941</v>
      </c>
      <c r="B365" s="209" t="s">
        <v>1942</v>
      </c>
      <c r="C365" s="210" t="s">
        <v>1943</v>
      </c>
      <c r="D365" s="209" t="s">
        <v>1944</v>
      </c>
      <c r="E365" s="210" t="s">
        <v>1945</v>
      </c>
      <c r="F365" s="211" t="s">
        <v>1946</v>
      </c>
    </row>
    <row r="366" spans="1:6">
      <c r="A366" s="208" t="s">
        <v>1947</v>
      </c>
      <c r="B366" s="209" t="s">
        <v>1948</v>
      </c>
      <c r="C366" s="210" t="s">
        <v>1949</v>
      </c>
      <c r="D366" s="209" t="s">
        <v>1950</v>
      </c>
      <c r="E366" s="210" t="s">
        <v>1951</v>
      </c>
      <c r="F366" s="211" t="s">
        <v>1952</v>
      </c>
    </row>
    <row r="367" spans="1:6">
      <c r="A367" s="208" t="s">
        <v>1953</v>
      </c>
      <c r="B367" s="209" t="s">
        <v>1954</v>
      </c>
      <c r="C367" s="210" t="s">
        <v>1955</v>
      </c>
      <c r="D367" s="209" t="s">
        <v>1956</v>
      </c>
      <c r="E367" s="210" t="s">
        <v>1957</v>
      </c>
      <c r="F367" s="211" t="s">
        <v>1958</v>
      </c>
    </row>
    <row r="368" spans="1:6">
      <c r="A368" s="208" t="s">
        <v>1959</v>
      </c>
      <c r="B368" s="209" t="s">
        <v>1960</v>
      </c>
      <c r="C368" s="210" t="s">
        <v>1961</v>
      </c>
      <c r="D368" s="209" t="s">
        <v>1962</v>
      </c>
      <c r="E368" s="210" t="s">
        <v>1963</v>
      </c>
      <c r="F368" s="211" t="s">
        <v>1964</v>
      </c>
    </row>
    <row r="369" spans="1:6">
      <c r="A369" s="208" t="s">
        <v>1965</v>
      </c>
      <c r="B369" s="209" t="s">
        <v>1966</v>
      </c>
      <c r="C369" s="210" t="s">
        <v>1967</v>
      </c>
      <c r="D369" s="209" t="s">
        <v>1968</v>
      </c>
      <c r="E369" s="210" t="s">
        <v>1969</v>
      </c>
      <c r="F369" s="211" t="s">
        <v>1970</v>
      </c>
    </row>
    <row r="370" spans="1:6">
      <c r="A370" s="208" t="s">
        <v>1971</v>
      </c>
      <c r="B370" s="209" t="s">
        <v>1972</v>
      </c>
      <c r="C370" s="210" t="s">
        <v>1973</v>
      </c>
      <c r="D370" s="209" t="s">
        <v>1974</v>
      </c>
      <c r="E370" s="210" t="s">
        <v>1975</v>
      </c>
      <c r="F370" s="211" t="s">
        <v>1976</v>
      </c>
    </row>
    <row r="371" spans="1:6">
      <c r="A371" s="208" t="s">
        <v>1977</v>
      </c>
      <c r="B371" s="209" t="s">
        <v>1978</v>
      </c>
      <c r="C371" s="210" t="s">
        <v>1979</v>
      </c>
      <c r="D371" s="209" t="s">
        <v>1980</v>
      </c>
      <c r="E371" s="210" t="s">
        <v>1981</v>
      </c>
      <c r="F371" s="211" t="s">
        <v>1982</v>
      </c>
    </row>
    <row r="372" spans="1:6">
      <c r="A372" s="208" t="s">
        <v>1983</v>
      </c>
      <c r="B372" s="209" t="s">
        <v>1984</v>
      </c>
      <c r="C372" s="210" t="s">
        <v>1985</v>
      </c>
      <c r="D372" s="209" t="s">
        <v>1986</v>
      </c>
      <c r="E372" s="210" t="s">
        <v>1987</v>
      </c>
      <c r="F372" s="211" t="s">
        <v>1988</v>
      </c>
    </row>
    <row r="373" spans="1:6">
      <c r="A373" s="208" t="s">
        <v>1989</v>
      </c>
      <c r="B373" s="209" t="s">
        <v>1990</v>
      </c>
      <c r="C373" s="210" t="s">
        <v>1991</v>
      </c>
      <c r="D373" s="209" t="s">
        <v>1992</v>
      </c>
      <c r="E373" s="210" t="s">
        <v>1993</v>
      </c>
      <c r="F373" s="211" t="s">
        <v>1994</v>
      </c>
    </row>
    <row r="374" spans="1:6">
      <c r="A374" s="208" t="s">
        <v>1995</v>
      </c>
      <c r="B374" s="209" t="s">
        <v>1996</v>
      </c>
      <c r="C374" s="210" t="s">
        <v>1997</v>
      </c>
      <c r="D374" s="209" t="s">
        <v>1998</v>
      </c>
      <c r="E374" s="210" t="s">
        <v>1999</v>
      </c>
      <c r="F374" s="211" t="s">
        <v>2000</v>
      </c>
    </row>
    <row r="375" spans="1:6">
      <c r="A375" s="208" t="s">
        <v>2001</v>
      </c>
      <c r="B375" s="209" t="s">
        <v>2002</v>
      </c>
      <c r="C375" s="210" t="s">
        <v>2003</v>
      </c>
      <c r="D375" s="209" t="s">
        <v>2004</v>
      </c>
      <c r="E375" s="210" t="s">
        <v>2005</v>
      </c>
      <c r="F375" s="211" t="s">
        <v>2006</v>
      </c>
    </row>
    <row r="376" spans="1:6">
      <c r="A376" s="208" t="s">
        <v>2007</v>
      </c>
      <c r="B376" s="209" t="s">
        <v>2008</v>
      </c>
      <c r="C376" s="210" t="s">
        <v>2009</v>
      </c>
      <c r="D376" s="209" t="s">
        <v>2010</v>
      </c>
      <c r="E376" s="210" t="s">
        <v>1750</v>
      </c>
      <c r="F376" s="211" t="s">
        <v>2011</v>
      </c>
    </row>
    <row r="377" spans="1:6">
      <c r="A377" s="208" t="s">
        <v>2012</v>
      </c>
      <c r="B377" s="209" t="s">
        <v>2013</v>
      </c>
      <c r="C377" s="210" t="s">
        <v>2014</v>
      </c>
      <c r="D377" s="209" t="s">
        <v>2015</v>
      </c>
      <c r="E377" s="210" t="s">
        <v>2016</v>
      </c>
      <c r="F377" s="211" t="s">
        <v>2017</v>
      </c>
    </row>
    <row r="378" spans="1:6">
      <c r="A378" s="208" t="s">
        <v>2018</v>
      </c>
      <c r="B378" s="209" t="s">
        <v>2019</v>
      </c>
      <c r="C378" s="210" t="s">
        <v>2020</v>
      </c>
      <c r="D378" s="209" t="s">
        <v>2021</v>
      </c>
      <c r="E378" s="210" t="s">
        <v>2022</v>
      </c>
      <c r="F378" s="211" t="s">
        <v>2023</v>
      </c>
    </row>
    <row r="379" spans="1:6">
      <c r="A379" s="208" t="s">
        <v>2024</v>
      </c>
      <c r="B379" s="209" t="s">
        <v>2025</v>
      </c>
      <c r="C379" s="210" t="s">
        <v>2026</v>
      </c>
      <c r="D379" s="209" t="s">
        <v>2027</v>
      </c>
      <c r="E379" s="210" t="s">
        <v>2028</v>
      </c>
      <c r="F379" s="211" t="s">
        <v>2029</v>
      </c>
    </row>
    <row r="380" spans="1:6">
      <c r="A380" s="208" t="s">
        <v>2030</v>
      </c>
      <c r="B380" s="209" t="s">
        <v>2031</v>
      </c>
      <c r="C380" s="210" t="s">
        <v>2032</v>
      </c>
      <c r="D380" s="209" t="s">
        <v>2033</v>
      </c>
      <c r="E380" s="210" t="s">
        <v>2034</v>
      </c>
      <c r="F380" s="211" t="s">
        <v>2035</v>
      </c>
    </row>
    <row r="381" spans="1:6">
      <c r="A381" s="208" t="s">
        <v>2036</v>
      </c>
      <c r="B381" s="209" t="s">
        <v>2037</v>
      </c>
      <c r="C381" s="210" t="s">
        <v>2038</v>
      </c>
      <c r="D381" s="209" t="s">
        <v>2039</v>
      </c>
      <c r="E381" s="210" t="s">
        <v>2040</v>
      </c>
      <c r="F381" s="211" t="s">
        <v>2041</v>
      </c>
    </row>
    <row r="382" spans="1:6">
      <c r="A382" s="208" t="s">
        <v>2042</v>
      </c>
      <c r="B382" s="209" t="s">
        <v>2043</v>
      </c>
      <c r="C382" s="210" t="s">
        <v>2044</v>
      </c>
      <c r="D382" s="209" t="s">
        <v>2045</v>
      </c>
      <c r="E382" s="210" t="s">
        <v>2046</v>
      </c>
      <c r="F382" s="211" t="s">
        <v>2047</v>
      </c>
    </row>
    <row r="383" spans="1:6">
      <c r="A383" s="208" t="s">
        <v>2048</v>
      </c>
      <c r="B383" s="209" t="s">
        <v>2049</v>
      </c>
      <c r="C383" s="210" t="s">
        <v>2050</v>
      </c>
      <c r="D383" s="209" t="s">
        <v>2051</v>
      </c>
      <c r="E383" s="210" t="s">
        <v>2052</v>
      </c>
      <c r="F383" s="211" t="s">
        <v>2053</v>
      </c>
    </row>
  </sheetData>
  <sheetProtection sheet="1" objects="1" scenarios="1"/>
  <phoneticPr fontId="1" type="noConversion"/>
  <conditionalFormatting sqref="A2:A98">
    <cfRule type="duplicateValues" dxfId="11" priority="8"/>
  </conditionalFormatting>
  <conditionalFormatting sqref="A99:A192">
    <cfRule type="duplicateValues" dxfId="10" priority="6"/>
  </conditionalFormatting>
  <conditionalFormatting sqref="A193:A289">
    <cfRule type="duplicateValues" dxfId="9" priority="4"/>
  </conditionalFormatting>
  <conditionalFormatting sqref="A290:A383">
    <cfRule type="duplicateValues" dxfId="8" priority="2"/>
  </conditionalFormatting>
  <conditionalFormatting sqref="B2:B98">
    <cfRule type="duplicateValues" dxfId="7" priority="7"/>
  </conditionalFormatting>
  <conditionalFormatting sqref="B99:B192">
    <cfRule type="duplicateValues" dxfId="6" priority="5"/>
  </conditionalFormatting>
  <conditionalFormatting sqref="B193:B289">
    <cfRule type="duplicateValues" dxfId="5" priority="3"/>
  </conditionalFormatting>
  <conditionalFormatting sqref="B290:B383">
    <cfRule type="duplicateValues" dxfId="4" priority="1"/>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B7:K20"/>
  <sheetViews>
    <sheetView topLeftCell="A4" workbookViewId="0">
      <selection activeCell="F17" sqref="F17"/>
    </sheetView>
  </sheetViews>
  <sheetFormatPr defaultRowHeight="17.399999999999999"/>
  <cols>
    <col min="2" max="2" width="9.3984375" customWidth="1"/>
    <col min="3" max="3" width="11.19921875" customWidth="1"/>
    <col min="7" max="7" width="9.59765625" bestFit="1" customWidth="1"/>
  </cols>
  <sheetData>
    <row r="7" spans="2:7">
      <c r="B7" s="9" t="s">
        <v>13</v>
      </c>
      <c r="C7" s="9" t="s">
        <v>14</v>
      </c>
      <c r="D7" s="1"/>
      <c r="E7" s="229" t="s">
        <v>15</v>
      </c>
      <c r="F7" s="229"/>
    </row>
    <row r="8" spans="2:7">
      <c r="B8" s="222">
        <v>1000</v>
      </c>
      <c r="C8" s="222">
        <f>B8*$F$9</f>
        <v>1430000</v>
      </c>
      <c r="D8" s="1"/>
      <c r="E8" s="7" t="s">
        <v>16</v>
      </c>
      <c r="F8" s="8" t="s">
        <v>17</v>
      </c>
    </row>
    <row r="9" spans="2:7">
      <c r="B9" s="222">
        <v>325</v>
      </c>
      <c r="C9" s="222">
        <f t="shared" ref="C9:C14" si="0">B9*$F$9</f>
        <v>464750</v>
      </c>
      <c r="D9" s="1"/>
      <c r="E9" s="6">
        <v>1</v>
      </c>
      <c r="F9" s="10">
        <v>1430</v>
      </c>
      <c r="G9" s="219">
        <v>45791</v>
      </c>
    </row>
    <row r="10" spans="2:7">
      <c r="B10" s="222">
        <v>500</v>
      </c>
      <c r="C10" s="222">
        <f t="shared" si="0"/>
        <v>715000</v>
      </c>
      <c r="D10" s="1"/>
      <c r="E10" s="6">
        <v>1</v>
      </c>
      <c r="F10" s="10">
        <v>1234</v>
      </c>
      <c r="G10" s="219">
        <v>45779</v>
      </c>
    </row>
    <row r="11" spans="2:7">
      <c r="B11" s="222">
        <v>567</v>
      </c>
      <c r="C11" s="222">
        <f t="shared" si="0"/>
        <v>810810</v>
      </c>
      <c r="D11" s="1"/>
      <c r="E11" s="6">
        <v>1</v>
      </c>
      <c r="F11" s="10">
        <v>1232</v>
      </c>
      <c r="G11" s="219">
        <v>45780</v>
      </c>
    </row>
    <row r="12" spans="2:7">
      <c r="B12" s="222">
        <v>540</v>
      </c>
      <c r="C12" s="222">
        <f t="shared" si="0"/>
        <v>772200</v>
      </c>
      <c r="D12" s="1"/>
      <c r="E12" s="6">
        <v>1</v>
      </c>
      <c r="F12" s="10">
        <v>1200</v>
      </c>
      <c r="G12" s="219">
        <v>45781</v>
      </c>
    </row>
    <row r="13" spans="2:7">
      <c r="B13" s="222">
        <v>2000</v>
      </c>
      <c r="C13" s="222">
        <f t="shared" si="0"/>
        <v>2860000</v>
      </c>
      <c r="D13" s="1"/>
      <c r="E13" s="6">
        <v>1</v>
      </c>
      <c r="F13" s="10">
        <v>1324</v>
      </c>
      <c r="G13" s="219">
        <v>45782</v>
      </c>
    </row>
    <row r="14" spans="2:7">
      <c r="B14" s="222">
        <v>3000</v>
      </c>
      <c r="C14" s="222">
        <f t="shared" si="0"/>
        <v>4290000</v>
      </c>
      <c r="D14" s="1"/>
      <c r="E14" s="6">
        <v>1</v>
      </c>
      <c r="F14" s="10">
        <v>1345</v>
      </c>
      <c r="G14" s="219">
        <v>45783</v>
      </c>
    </row>
    <row r="15" spans="2:7">
      <c r="C15" s="1">
        <f>SUM(C8:C14)</f>
        <v>11342760</v>
      </c>
      <c r="E15" s="6">
        <v>1</v>
      </c>
      <c r="F15" s="10">
        <v>1300</v>
      </c>
      <c r="G15" s="219">
        <v>45789</v>
      </c>
    </row>
    <row r="20" spans="2:11">
      <c r="B20" s="230" t="s">
        <v>2337</v>
      </c>
      <c r="C20" s="230"/>
      <c r="D20" s="230"/>
      <c r="E20" s="230"/>
      <c r="F20" s="230"/>
      <c r="G20" s="230"/>
      <c r="H20" s="230"/>
      <c r="I20" s="230"/>
      <c r="J20" s="230"/>
      <c r="K20" s="230"/>
    </row>
  </sheetData>
  <mergeCells count="2">
    <mergeCell ref="E7:F7"/>
    <mergeCell ref="B20:K20"/>
  </mergeCells>
  <phoneticPr fontId="1"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B1:E21"/>
  <sheetViews>
    <sheetView topLeftCell="A7" zoomScale="115" zoomScaleNormal="115" workbookViewId="0">
      <selection activeCell="E20" sqref="E20"/>
    </sheetView>
  </sheetViews>
  <sheetFormatPr defaultRowHeight="17.399999999999999"/>
  <cols>
    <col min="1" max="1" width="3.19921875" customWidth="1"/>
    <col min="2" max="2" width="7.09765625" bestFit="1" customWidth="1"/>
    <col min="3" max="3" width="13" bestFit="1" customWidth="1"/>
    <col min="4" max="4" width="17.19921875" bestFit="1" customWidth="1"/>
    <col min="5" max="5" width="5.5" bestFit="1" customWidth="1"/>
    <col min="7" max="7" width="7.09765625" bestFit="1" customWidth="1"/>
    <col min="8" max="8" width="13" bestFit="1" customWidth="1"/>
    <col min="9" max="9" width="5.5" bestFit="1" customWidth="1"/>
  </cols>
  <sheetData>
    <row r="1" spans="2:5" ht="19.2">
      <c r="B1" s="81" t="s">
        <v>245</v>
      </c>
      <c r="C1" s="81"/>
    </row>
    <row r="2" spans="2:5" ht="19.2">
      <c r="B2" s="81"/>
      <c r="C2" s="80" t="s">
        <v>244</v>
      </c>
    </row>
    <row r="3" spans="2:5" ht="19.2">
      <c r="B3" s="81"/>
      <c r="C3" s="80" t="s">
        <v>243</v>
      </c>
    </row>
    <row r="4" spans="2:5" ht="19.2">
      <c r="B4" s="81"/>
      <c r="C4" s="80" t="s">
        <v>242</v>
      </c>
    </row>
    <row r="5" spans="2:5">
      <c r="B5" t="s">
        <v>241</v>
      </c>
    </row>
    <row r="6" spans="2:5">
      <c r="B6" s="79" t="s">
        <v>240</v>
      </c>
      <c r="C6" s="78" t="s">
        <v>239</v>
      </c>
      <c r="D6" s="78" t="s">
        <v>238</v>
      </c>
      <c r="E6" s="78" t="s">
        <v>237</v>
      </c>
    </row>
    <row r="7" spans="2:5">
      <c r="B7" s="73" t="s">
        <v>236</v>
      </c>
      <c r="C7" s="72" t="s">
        <v>207</v>
      </c>
      <c r="D7" s="72" t="s">
        <v>210</v>
      </c>
      <c r="E7" s="71" t="s">
        <v>209</v>
      </c>
    </row>
    <row r="8" spans="2:5">
      <c r="B8" s="77" t="s">
        <v>235</v>
      </c>
      <c r="C8" s="72" t="s">
        <v>207</v>
      </c>
      <c r="D8" s="72" t="s">
        <v>217</v>
      </c>
      <c r="E8" s="71" t="s">
        <v>234</v>
      </c>
    </row>
    <row r="9" spans="2:5">
      <c r="B9" s="73" t="s">
        <v>233</v>
      </c>
      <c r="C9" s="72" t="s">
        <v>214</v>
      </c>
      <c r="D9" s="72" t="s">
        <v>213</v>
      </c>
      <c r="E9" s="71" t="s">
        <v>209</v>
      </c>
    </row>
    <row r="10" spans="2:5">
      <c r="B10" s="76" t="s">
        <v>232</v>
      </c>
      <c r="C10" s="72" t="s">
        <v>222</v>
      </c>
      <c r="D10" s="72" t="s">
        <v>221</v>
      </c>
      <c r="E10" s="71" t="s">
        <v>212</v>
      </c>
    </row>
    <row r="11" spans="2:5">
      <c r="B11" s="74" t="s">
        <v>231</v>
      </c>
      <c r="C11" s="72" t="s">
        <v>214</v>
      </c>
      <c r="D11" s="72" t="s">
        <v>226</v>
      </c>
      <c r="E11" s="71" t="s">
        <v>216</v>
      </c>
    </row>
    <row r="12" spans="2:5">
      <c r="B12" s="74" t="s">
        <v>230</v>
      </c>
      <c r="C12" s="72" t="s">
        <v>207</v>
      </c>
      <c r="D12" s="72" t="s">
        <v>210</v>
      </c>
      <c r="E12" s="71" t="s">
        <v>205</v>
      </c>
    </row>
    <row r="13" spans="2:5">
      <c r="B13" s="74" t="s">
        <v>229</v>
      </c>
      <c r="C13" s="72" t="s">
        <v>214</v>
      </c>
      <c r="D13" s="72" t="s">
        <v>213</v>
      </c>
      <c r="E13" s="71" t="s">
        <v>228</v>
      </c>
    </row>
    <row r="14" spans="2:5">
      <c r="B14" s="75" t="s">
        <v>227</v>
      </c>
      <c r="C14" s="72" t="s">
        <v>214</v>
      </c>
      <c r="D14" s="72" t="s">
        <v>226</v>
      </c>
      <c r="E14" s="71" t="s">
        <v>225</v>
      </c>
    </row>
    <row r="15" spans="2:5">
      <c r="B15" s="75" t="s">
        <v>224</v>
      </c>
      <c r="C15" s="72" t="s">
        <v>222</v>
      </c>
      <c r="D15" s="72" t="s">
        <v>221</v>
      </c>
      <c r="E15" s="71" t="s">
        <v>209</v>
      </c>
    </row>
    <row r="16" spans="2:5">
      <c r="B16" s="75" t="s">
        <v>223</v>
      </c>
      <c r="C16" s="72" t="s">
        <v>222</v>
      </c>
      <c r="D16" s="72" t="s">
        <v>221</v>
      </c>
      <c r="E16" s="71" t="s">
        <v>219</v>
      </c>
    </row>
    <row r="17" spans="2:5">
      <c r="B17" s="74" t="s">
        <v>220</v>
      </c>
      <c r="C17" s="72" t="s">
        <v>207</v>
      </c>
      <c r="D17" s="72" t="s">
        <v>206</v>
      </c>
      <c r="E17" s="71" t="s">
        <v>219</v>
      </c>
    </row>
    <row r="18" spans="2:5">
      <c r="B18" s="74" t="s">
        <v>218</v>
      </c>
      <c r="C18" s="72" t="s">
        <v>207</v>
      </c>
      <c r="D18" s="72" t="s">
        <v>217</v>
      </c>
      <c r="E18" s="71" t="s">
        <v>216</v>
      </c>
    </row>
    <row r="19" spans="2:5">
      <c r="B19" s="73" t="s">
        <v>215</v>
      </c>
      <c r="C19" s="72" t="s">
        <v>214</v>
      </c>
      <c r="D19" s="72" t="s">
        <v>213</v>
      </c>
      <c r="E19" s="71" t="s">
        <v>212</v>
      </c>
    </row>
    <row r="20" spans="2:5">
      <c r="B20" s="73" t="s">
        <v>211</v>
      </c>
      <c r="C20" s="72" t="s">
        <v>207</v>
      </c>
      <c r="D20" s="72" t="s">
        <v>210</v>
      </c>
      <c r="E20" s="71" t="s">
        <v>209</v>
      </c>
    </row>
    <row r="21" spans="2:5">
      <c r="B21" s="73" t="s">
        <v>208</v>
      </c>
      <c r="C21" s="72" t="s">
        <v>207</v>
      </c>
      <c r="D21" s="72" t="s">
        <v>206</v>
      </c>
      <c r="E21" s="71" t="s">
        <v>205</v>
      </c>
    </row>
  </sheetData>
  <autoFilter ref="B6:E6" xr:uid="{00000000-0009-0000-0000-00000B000000}"/>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J19"/>
  <sheetViews>
    <sheetView zoomScale="115" zoomScaleNormal="115" workbookViewId="0">
      <selection activeCell="H15" sqref="H15"/>
    </sheetView>
  </sheetViews>
  <sheetFormatPr defaultRowHeight="17.399999999999999"/>
  <cols>
    <col min="1" max="1" width="4.19921875" customWidth="1"/>
    <col min="2" max="2" width="10" customWidth="1"/>
    <col min="3" max="3" width="6.69921875" customWidth="1"/>
    <col min="4" max="4" width="6.5" customWidth="1"/>
    <col min="5" max="5" width="10.59765625" customWidth="1"/>
    <col min="7" max="7" width="8.8984375" customWidth="1"/>
    <col min="8" max="8" width="4.3984375" customWidth="1"/>
  </cols>
  <sheetData>
    <row r="1" spans="1:10" s="17" customFormat="1" ht="21">
      <c r="A1" s="17">
        <v>1</v>
      </c>
      <c r="B1" s="83" t="s">
        <v>259</v>
      </c>
    </row>
    <row r="2" spans="1:10" s="17" customFormat="1" ht="21">
      <c r="B2" s="85" t="s">
        <v>258</v>
      </c>
    </row>
    <row r="3" spans="1:10" s="17" customFormat="1" ht="21">
      <c r="A3" s="84" t="s">
        <v>257</v>
      </c>
      <c r="B3" s="83" t="s">
        <v>256</v>
      </c>
    </row>
    <row r="4" spans="1:10">
      <c r="I4" t="s">
        <v>241</v>
      </c>
    </row>
    <row r="5" spans="1:10">
      <c r="I5" s="82" t="s">
        <v>255</v>
      </c>
      <c r="J5" s="82" t="s">
        <v>254</v>
      </c>
    </row>
    <row r="6" spans="1:10">
      <c r="I6" s="82" t="s">
        <v>253</v>
      </c>
      <c r="J6" s="82" t="s">
        <v>252</v>
      </c>
    </row>
    <row r="7" spans="1:10">
      <c r="I7" s="120" t="s">
        <v>2140</v>
      </c>
      <c r="J7" s="82" t="s">
        <v>251</v>
      </c>
    </row>
    <row r="8" spans="1:10">
      <c r="B8" s="79" t="s">
        <v>240</v>
      </c>
      <c r="C8" s="78" t="s">
        <v>250</v>
      </c>
      <c r="D8" s="78" t="s">
        <v>249</v>
      </c>
      <c r="E8" s="78" t="s">
        <v>248</v>
      </c>
      <c r="I8" s="82" t="s">
        <v>247</v>
      </c>
      <c r="J8" s="82" t="s">
        <v>246</v>
      </c>
    </row>
    <row r="9" spans="1:10">
      <c r="B9" s="73" t="s">
        <v>236</v>
      </c>
      <c r="C9" s="72">
        <v>60</v>
      </c>
      <c r="D9" s="72">
        <v>170</v>
      </c>
      <c r="E9" s="78" t="e" cm="1">
        <f t="array" aca="1" ref="E9" ca="1">fn비만도1(C9,D9)</f>
        <v>#NAME?</v>
      </c>
    </row>
    <row r="10" spans="1:10">
      <c r="B10" s="77" t="s">
        <v>235</v>
      </c>
      <c r="C10" s="72">
        <v>70</v>
      </c>
      <c r="D10" s="72">
        <v>180</v>
      </c>
      <c r="E10" s="78"/>
    </row>
    <row r="11" spans="1:10">
      <c r="B11" s="73" t="s">
        <v>233</v>
      </c>
      <c r="C11" s="72">
        <v>80</v>
      </c>
      <c r="D11" s="72">
        <v>160</v>
      </c>
      <c r="E11" s="78"/>
    </row>
    <row r="12" spans="1:10">
      <c r="B12" s="76" t="s">
        <v>232</v>
      </c>
      <c r="C12" s="72">
        <v>90</v>
      </c>
      <c r="D12" s="72">
        <v>170</v>
      </c>
      <c r="E12" s="78"/>
    </row>
    <row r="13" spans="1:10">
      <c r="B13" s="74" t="s">
        <v>231</v>
      </c>
      <c r="C13" s="72">
        <v>75</v>
      </c>
      <c r="D13" s="72">
        <v>180</v>
      </c>
      <c r="E13" s="78"/>
    </row>
    <row r="14" spans="1:10">
      <c r="B14" s="74" t="s">
        <v>230</v>
      </c>
      <c r="C14" s="72">
        <v>80</v>
      </c>
      <c r="D14" s="72">
        <v>170</v>
      </c>
      <c r="E14" s="78"/>
    </row>
    <row r="15" spans="1:10">
      <c r="B15" s="74" t="s">
        <v>229</v>
      </c>
      <c r="C15" s="72">
        <v>85</v>
      </c>
      <c r="D15" s="72">
        <v>180</v>
      </c>
      <c r="E15" s="78"/>
    </row>
    <row r="16" spans="1:10">
      <c r="B16" s="75" t="s">
        <v>227</v>
      </c>
      <c r="C16" s="72">
        <v>55</v>
      </c>
      <c r="D16" s="72">
        <v>160</v>
      </c>
      <c r="E16" s="78"/>
    </row>
    <row r="17" spans="2:5">
      <c r="B17" s="75" t="s">
        <v>224</v>
      </c>
      <c r="C17" s="72">
        <v>60</v>
      </c>
      <c r="D17" s="72">
        <v>170</v>
      </c>
      <c r="E17" s="78"/>
    </row>
    <row r="18" spans="2:5">
      <c r="B18" s="75" t="s">
        <v>223</v>
      </c>
      <c r="C18" s="72">
        <v>65</v>
      </c>
      <c r="D18" s="72">
        <v>180</v>
      </c>
      <c r="E18" s="78"/>
    </row>
    <row r="19" spans="2:5">
      <c r="B19" s="74" t="s">
        <v>220</v>
      </c>
      <c r="C19" s="72">
        <v>90</v>
      </c>
      <c r="D19" s="72">
        <v>170</v>
      </c>
      <c r="E19" s="78"/>
    </row>
  </sheetData>
  <phoneticPr fontId="1"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B1:P21"/>
  <sheetViews>
    <sheetView workbookViewId="0">
      <selection activeCell="N18" sqref="N18"/>
    </sheetView>
  </sheetViews>
  <sheetFormatPr defaultRowHeight="17.399999999999999"/>
  <cols>
    <col min="1" max="1" width="2.19921875" customWidth="1"/>
    <col min="3" max="3" width="13.69921875" customWidth="1"/>
    <col min="8" max="8" width="14.19921875" customWidth="1"/>
    <col min="13" max="13" width="11.5" customWidth="1"/>
    <col min="14" max="16" width="10.8984375" customWidth="1"/>
  </cols>
  <sheetData>
    <row r="1" spans="2:16">
      <c r="B1" s="91" t="s">
        <v>241</v>
      </c>
      <c r="C1" s="91"/>
      <c r="D1" s="91"/>
      <c r="E1" s="91"/>
      <c r="F1" s="91"/>
      <c r="G1" s="91"/>
      <c r="H1" s="91"/>
      <c r="I1" s="91"/>
      <c r="J1" s="91"/>
      <c r="K1" s="91"/>
      <c r="L1" s="91"/>
      <c r="M1" s="91"/>
      <c r="N1" s="91"/>
      <c r="O1" s="91"/>
    </row>
    <row r="2" spans="2:16" ht="19.2">
      <c r="B2" s="92" t="s">
        <v>70</v>
      </c>
      <c r="C2" s="92" t="s">
        <v>238</v>
      </c>
      <c r="D2" s="92" t="s">
        <v>2063</v>
      </c>
      <c r="E2" s="92" t="s">
        <v>2064</v>
      </c>
      <c r="F2" s="92" t="s">
        <v>2065</v>
      </c>
      <c r="G2" s="91"/>
      <c r="H2" s="93" t="s">
        <v>2066</v>
      </c>
      <c r="I2" s="91"/>
      <c r="J2" s="91"/>
      <c r="K2" s="91"/>
      <c r="L2" s="91"/>
      <c r="M2" s="91"/>
      <c r="N2" s="91"/>
      <c r="O2" s="91"/>
    </row>
    <row r="3" spans="2:16" ht="19.2">
      <c r="B3" s="94" t="s">
        <v>2067</v>
      </c>
      <c r="C3" s="94" t="s">
        <v>2068</v>
      </c>
      <c r="D3" s="95">
        <v>98</v>
      </c>
      <c r="E3" s="95">
        <v>88</v>
      </c>
      <c r="F3" s="95">
        <v>80</v>
      </c>
      <c r="G3" s="91"/>
      <c r="H3" s="93" t="s">
        <v>2069</v>
      </c>
      <c r="I3" s="91"/>
      <c r="J3" s="91"/>
      <c r="K3" s="91"/>
      <c r="L3" s="91"/>
      <c r="M3" s="91"/>
      <c r="N3" s="91"/>
      <c r="O3" s="91"/>
    </row>
    <row r="4" spans="2:16" ht="19.2">
      <c r="B4" s="94" t="s">
        <v>2070</v>
      </c>
      <c r="C4" s="94" t="s">
        <v>2071</v>
      </c>
      <c r="D4" s="95">
        <v>89</v>
      </c>
      <c r="E4" s="95">
        <v>99</v>
      </c>
      <c r="F4" s="95">
        <v>63</v>
      </c>
      <c r="G4" s="91"/>
      <c r="H4" s="93" t="s">
        <v>2072</v>
      </c>
      <c r="I4" s="91"/>
      <c r="J4" s="91"/>
      <c r="K4" s="91"/>
      <c r="L4" s="91"/>
      <c r="M4" s="91"/>
      <c r="N4" s="91"/>
      <c r="O4" s="91"/>
    </row>
    <row r="5" spans="2:16">
      <c r="B5" s="94" t="s">
        <v>2073</v>
      </c>
      <c r="C5" s="94" t="s">
        <v>2074</v>
      </c>
      <c r="D5" s="95">
        <v>82</v>
      </c>
      <c r="E5" s="95">
        <v>55</v>
      </c>
      <c r="F5" s="95">
        <v>77</v>
      </c>
      <c r="G5" s="91"/>
      <c r="H5" s="91"/>
      <c r="I5" s="91"/>
      <c r="J5" s="91"/>
      <c r="K5" s="91"/>
      <c r="L5" s="91"/>
      <c r="M5" s="91"/>
      <c r="N5" s="91"/>
      <c r="O5" s="91"/>
    </row>
    <row r="6" spans="2:16">
      <c r="B6" s="94" t="s">
        <v>2075</v>
      </c>
      <c r="C6" s="94" t="s">
        <v>2076</v>
      </c>
      <c r="D6" s="95">
        <v>64</v>
      </c>
      <c r="E6" s="95">
        <v>99</v>
      </c>
      <c r="F6" s="95">
        <v>99</v>
      </c>
      <c r="G6" s="91"/>
      <c r="H6" s="96" t="s">
        <v>2077</v>
      </c>
      <c r="I6" s="91"/>
      <c r="J6" s="91"/>
      <c r="K6" s="91"/>
      <c r="L6" s="91"/>
      <c r="M6" s="91"/>
      <c r="N6" s="91"/>
      <c r="O6" s="91"/>
    </row>
    <row r="7" spans="2:16">
      <c r="B7" s="94" t="s">
        <v>2078</v>
      </c>
      <c r="C7" s="94" t="s">
        <v>2068</v>
      </c>
      <c r="D7" s="95">
        <v>51</v>
      </c>
      <c r="E7" s="95">
        <v>44</v>
      </c>
      <c r="F7" s="95">
        <v>81</v>
      </c>
      <c r="G7" s="91"/>
      <c r="H7" s="97" t="s">
        <v>238</v>
      </c>
      <c r="I7" s="97" t="s">
        <v>2063</v>
      </c>
      <c r="J7" s="97" t="s">
        <v>2064</v>
      </c>
      <c r="K7" s="97" t="s">
        <v>2065</v>
      </c>
      <c r="L7" s="91"/>
      <c r="M7" s="97" t="s">
        <v>238</v>
      </c>
      <c r="N7" s="97" t="s">
        <v>2063</v>
      </c>
      <c r="O7" s="97" t="s">
        <v>2064</v>
      </c>
      <c r="P7" s="97" t="s">
        <v>2065</v>
      </c>
    </row>
    <row r="8" spans="2:16">
      <c r="B8" s="94" t="s">
        <v>2079</v>
      </c>
      <c r="C8" s="94" t="s">
        <v>2071</v>
      </c>
      <c r="D8" s="95">
        <v>93</v>
      </c>
      <c r="E8" s="95">
        <v>66</v>
      </c>
      <c r="F8" s="95">
        <v>86</v>
      </c>
      <c r="G8" s="91"/>
      <c r="H8" s="94" t="s">
        <v>2068</v>
      </c>
      <c r="I8" s="94"/>
      <c r="J8" s="94"/>
      <c r="K8" s="94"/>
      <c r="L8" s="91"/>
      <c r="M8" s="94" t="s">
        <v>2068</v>
      </c>
      <c r="N8" s="94" cm="1">
        <f t="array" ref="N8">MAX(($H8=$C$3:$C$14)*(D$3:D$14))</f>
        <v>99</v>
      </c>
      <c r="O8" s="94"/>
      <c r="P8" s="94"/>
    </row>
    <row r="9" spans="2:16">
      <c r="B9" s="94" t="s">
        <v>2080</v>
      </c>
      <c r="C9" s="94" t="s">
        <v>2074</v>
      </c>
      <c r="D9" s="95">
        <v>86</v>
      </c>
      <c r="E9" s="95">
        <v>99</v>
      </c>
      <c r="F9" s="95">
        <v>93</v>
      </c>
      <c r="G9" s="91"/>
      <c r="H9" s="94" t="s">
        <v>2071</v>
      </c>
      <c r="I9" s="94"/>
      <c r="J9" s="94"/>
      <c r="K9" s="94"/>
      <c r="L9" s="91"/>
      <c r="M9" s="94" t="s">
        <v>2071</v>
      </c>
      <c r="N9" s="94"/>
      <c r="O9" s="94"/>
      <c r="P9" s="94"/>
    </row>
    <row r="10" spans="2:16">
      <c r="B10" s="94" t="s">
        <v>2081</v>
      </c>
      <c r="C10" s="94" t="s">
        <v>2076</v>
      </c>
      <c r="D10" s="95">
        <v>72</v>
      </c>
      <c r="E10" s="95">
        <v>55</v>
      </c>
      <c r="F10" s="95">
        <v>100</v>
      </c>
      <c r="G10" s="91"/>
      <c r="H10" s="94" t="s">
        <v>2074</v>
      </c>
      <c r="I10" s="94"/>
      <c r="J10" s="94"/>
      <c r="K10" s="94"/>
      <c r="L10" s="91"/>
      <c r="M10" s="94" t="s">
        <v>2074</v>
      </c>
      <c r="N10" s="94"/>
      <c r="O10" s="94"/>
      <c r="P10" s="94"/>
    </row>
    <row r="11" spans="2:16">
      <c r="B11" s="94" t="s">
        <v>2082</v>
      </c>
      <c r="C11" s="94" t="s">
        <v>2068</v>
      </c>
      <c r="D11" s="95">
        <v>99</v>
      </c>
      <c r="E11" s="95">
        <v>66</v>
      </c>
      <c r="F11" s="95">
        <v>64</v>
      </c>
      <c r="G11" s="91"/>
      <c r="H11" s="94" t="s">
        <v>2076</v>
      </c>
      <c r="I11" s="94"/>
      <c r="J11" s="94"/>
      <c r="K11" s="94"/>
      <c r="L11" s="91"/>
      <c r="M11" s="94" t="s">
        <v>2076</v>
      </c>
      <c r="N11" s="94"/>
      <c r="O11" s="94"/>
      <c r="P11" s="94"/>
    </row>
    <row r="12" spans="2:16">
      <c r="B12" s="94" t="s">
        <v>2083</v>
      </c>
      <c r="C12" s="94" t="s">
        <v>2071</v>
      </c>
      <c r="D12" s="95">
        <v>77</v>
      </c>
      <c r="E12" s="95">
        <v>88</v>
      </c>
      <c r="F12" s="95">
        <v>82</v>
      </c>
      <c r="G12" s="91"/>
      <c r="H12" s="91"/>
      <c r="I12" s="91"/>
      <c r="J12" s="91"/>
      <c r="K12" s="91"/>
      <c r="L12" s="91"/>
      <c r="M12" s="91"/>
      <c r="N12" s="91"/>
      <c r="O12" s="91"/>
    </row>
    <row r="13" spans="2:16">
      <c r="B13" s="94" t="s">
        <v>220</v>
      </c>
      <c r="C13" s="94" t="s">
        <v>2074</v>
      </c>
      <c r="D13" s="95">
        <v>99</v>
      </c>
      <c r="E13" s="95">
        <v>55</v>
      </c>
      <c r="F13" s="95">
        <v>89</v>
      </c>
      <c r="G13" s="91"/>
      <c r="H13" s="52" t="s">
        <v>2084</v>
      </c>
      <c r="I13" s="91"/>
      <c r="J13" s="91"/>
      <c r="K13" s="91"/>
      <c r="L13" s="91"/>
      <c r="M13" s="91"/>
      <c r="N13" s="91"/>
      <c r="O13" s="91"/>
    </row>
    <row r="14" spans="2:16">
      <c r="B14" s="94" t="s">
        <v>2085</v>
      </c>
      <c r="C14" s="94" t="s">
        <v>2076</v>
      </c>
      <c r="D14" s="95">
        <v>80</v>
      </c>
      <c r="E14" s="95">
        <v>77</v>
      </c>
      <c r="F14" s="95">
        <v>98</v>
      </c>
      <c r="G14" s="91"/>
      <c r="H14" s="98" t="s">
        <v>2086</v>
      </c>
      <c r="I14" s="91"/>
      <c r="J14" s="91"/>
      <c r="K14" s="91"/>
      <c r="L14" s="91"/>
      <c r="M14" s="91"/>
      <c r="N14" s="91"/>
      <c r="O14" s="91"/>
    </row>
    <row r="15" spans="2:16">
      <c r="B15" s="91"/>
      <c r="C15" s="91"/>
      <c r="D15" s="91"/>
      <c r="E15" s="91"/>
      <c r="F15" s="91"/>
      <c r="G15" s="91"/>
      <c r="H15" s="52" t="s">
        <v>2087</v>
      </c>
      <c r="I15" s="91"/>
      <c r="J15" s="91"/>
      <c r="K15" s="91"/>
      <c r="L15" s="91"/>
      <c r="M15" s="91"/>
      <c r="N15" s="91"/>
      <c r="O15" s="91"/>
    </row>
    <row r="21" spans="12:12">
      <c r="L21" s="99" t="str" cm="1">
        <f t="array" ref="L21">INDEX($B$3:$B$14,MATCH(MAX(($H8=$C$3:$C$14)*(D$3:D$14)),($H8=$C$3:$C$14)*(D$3:D$14),0),1)</f>
        <v>이효진</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B2:L22"/>
  <sheetViews>
    <sheetView topLeftCell="A3" workbookViewId="0">
      <selection activeCell="R13" sqref="R13"/>
    </sheetView>
  </sheetViews>
  <sheetFormatPr defaultRowHeight="17.399999999999999"/>
  <cols>
    <col min="1" max="1" width="5.09765625" customWidth="1"/>
    <col min="2" max="2" width="7.09765625" bestFit="1" customWidth="1"/>
    <col min="3" max="4" width="11" bestFit="1" customWidth="1"/>
    <col min="5" max="5" width="13.3984375" bestFit="1" customWidth="1"/>
    <col min="6" max="6" width="12.5" bestFit="1" customWidth="1"/>
    <col min="7" max="11" width="5.19921875" bestFit="1" customWidth="1"/>
    <col min="12" max="12" width="5.5" bestFit="1" customWidth="1"/>
  </cols>
  <sheetData>
    <row r="2" spans="2:12" ht="20.399999999999999">
      <c r="B2" s="100" t="s">
        <v>2088</v>
      </c>
    </row>
    <row r="3" spans="2:12" ht="20.399999999999999">
      <c r="B3" s="100" t="s">
        <v>2089</v>
      </c>
    </row>
    <row r="4" spans="2:12" ht="20.399999999999999">
      <c r="B4" s="100" t="s">
        <v>2090</v>
      </c>
    </row>
    <row r="6" spans="2:12">
      <c r="B6" s="78" t="s">
        <v>1477</v>
      </c>
      <c r="C6" s="78" t="s">
        <v>2091</v>
      </c>
      <c r="D6" s="78" t="s">
        <v>2092</v>
      </c>
      <c r="E6" s="78" t="s">
        <v>2093</v>
      </c>
      <c r="F6" s="78" t="s">
        <v>2094</v>
      </c>
      <c r="G6" s="78" t="s">
        <v>2095</v>
      </c>
      <c r="H6" s="78" t="s">
        <v>2096</v>
      </c>
      <c r="I6" s="78" t="s">
        <v>2097</v>
      </c>
      <c r="J6" s="78" t="s">
        <v>2098</v>
      </c>
      <c r="K6" s="78" t="s">
        <v>2099</v>
      </c>
      <c r="L6" s="78" t="s">
        <v>2100</v>
      </c>
    </row>
    <row r="7" spans="2:12">
      <c r="B7" s="3" t="s">
        <v>2101</v>
      </c>
      <c r="C7" s="3" t="s">
        <v>2102</v>
      </c>
      <c r="D7" s="3" t="s">
        <v>2103</v>
      </c>
      <c r="E7" s="3" t="s">
        <v>2104</v>
      </c>
      <c r="F7" s="101">
        <v>44562</v>
      </c>
      <c r="G7" s="3">
        <v>98</v>
      </c>
      <c r="H7" s="3">
        <v>88</v>
      </c>
      <c r="I7" s="3">
        <v>80</v>
      </c>
      <c r="J7" s="3">
        <v>77</v>
      </c>
      <c r="K7" s="3">
        <v>343</v>
      </c>
      <c r="L7" s="3">
        <v>85.8</v>
      </c>
    </row>
    <row r="8" spans="2:12">
      <c r="B8" s="3" t="s">
        <v>2105</v>
      </c>
      <c r="C8" s="3" t="s">
        <v>2106</v>
      </c>
      <c r="D8" s="3" t="s">
        <v>2107</v>
      </c>
      <c r="E8" s="3" t="s">
        <v>2108</v>
      </c>
      <c r="F8" s="101">
        <v>44593</v>
      </c>
      <c r="G8" s="3">
        <v>89</v>
      </c>
      <c r="H8" s="3">
        <v>99</v>
      </c>
      <c r="I8" s="3">
        <v>63</v>
      </c>
      <c r="J8" s="3">
        <v>55</v>
      </c>
      <c r="K8" s="3">
        <v>306</v>
      </c>
      <c r="L8" s="3">
        <v>76.5</v>
      </c>
    </row>
    <row r="9" spans="2:12">
      <c r="B9" s="3" t="s">
        <v>2109</v>
      </c>
      <c r="C9" s="3" t="s">
        <v>2110</v>
      </c>
      <c r="D9" s="3" t="s">
        <v>2111</v>
      </c>
      <c r="E9" s="3" t="s">
        <v>2112</v>
      </c>
      <c r="F9" s="101">
        <v>44621</v>
      </c>
      <c r="G9" s="3">
        <v>82</v>
      </c>
      <c r="H9" s="3">
        <v>55</v>
      </c>
      <c r="I9" s="3">
        <v>77</v>
      </c>
      <c r="J9" s="3">
        <v>88</v>
      </c>
      <c r="K9" s="3">
        <v>302</v>
      </c>
      <c r="L9" s="3">
        <v>75.5</v>
      </c>
    </row>
    <row r="10" spans="2:12">
      <c r="B10" s="3" t="s">
        <v>2113</v>
      </c>
      <c r="C10" s="3" t="s">
        <v>2114</v>
      </c>
      <c r="D10" s="3" t="s">
        <v>2115</v>
      </c>
      <c r="E10" s="3" t="s">
        <v>2116</v>
      </c>
      <c r="F10" s="101">
        <v>44652</v>
      </c>
      <c r="G10" s="3">
        <v>64</v>
      </c>
      <c r="H10" s="3">
        <v>99</v>
      </c>
      <c r="I10" s="3">
        <v>99</v>
      </c>
      <c r="J10" s="3">
        <v>66</v>
      </c>
      <c r="K10" s="3">
        <v>328</v>
      </c>
      <c r="L10" s="3">
        <v>82</v>
      </c>
    </row>
    <row r="11" spans="2:12">
      <c r="B11" s="3" t="s">
        <v>2117</v>
      </c>
      <c r="C11" s="3" t="s">
        <v>2102</v>
      </c>
      <c r="D11" s="3" t="s">
        <v>2103</v>
      </c>
      <c r="E11" s="3" t="s">
        <v>2118</v>
      </c>
      <c r="F11" s="101">
        <v>44682</v>
      </c>
      <c r="G11" s="3">
        <v>51</v>
      </c>
      <c r="H11" s="3">
        <v>44</v>
      </c>
      <c r="I11" s="3">
        <v>81</v>
      </c>
      <c r="J11" s="3">
        <v>55</v>
      </c>
      <c r="K11" s="3">
        <v>231</v>
      </c>
      <c r="L11" s="3">
        <v>57.8</v>
      </c>
    </row>
    <row r="12" spans="2:12">
      <c r="B12" s="3" t="s">
        <v>2119</v>
      </c>
      <c r="C12" s="3" t="s">
        <v>2106</v>
      </c>
      <c r="D12" s="3" t="s">
        <v>2107</v>
      </c>
      <c r="E12" s="3" t="s">
        <v>2120</v>
      </c>
      <c r="F12" s="101">
        <v>44713</v>
      </c>
      <c r="G12" s="3">
        <v>93</v>
      </c>
      <c r="H12" s="3">
        <v>66</v>
      </c>
      <c r="I12" s="3">
        <v>86</v>
      </c>
      <c r="J12" s="3">
        <v>99</v>
      </c>
      <c r="K12" s="3">
        <v>344</v>
      </c>
      <c r="L12" s="3">
        <v>86</v>
      </c>
    </row>
    <row r="13" spans="2:12">
      <c r="B13" s="3" t="s">
        <v>2121</v>
      </c>
      <c r="C13" s="3" t="s">
        <v>2110</v>
      </c>
      <c r="D13" s="3" t="s">
        <v>2111</v>
      </c>
      <c r="E13" s="3" t="s">
        <v>2122</v>
      </c>
      <c r="F13" s="101">
        <v>44743</v>
      </c>
      <c r="G13" s="3">
        <v>86</v>
      </c>
      <c r="H13" s="3">
        <v>99</v>
      </c>
      <c r="I13" s="3">
        <v>93</v>
      </c>
      <c r="J13" s="3">
        <v>66</v>
      </c>
      <c r="K13" s="3">
        <v>344</v>
      </c>
      <c r="L13" s="3">
        <v>86</v>
      </c>
    </row>
    <row r="14" spans="2:12">
      <c r="B14" s="3" t="s">
        <v>2123</v>
      </c>
      <c r="C14" s="3" t="s">
        <v>2114</v>
      </c>
      <c r="D14" s="3" t="s">
        <v>2115</v>
      </c>
      <c r="E14" s="3" t="s">
        <v>2124</v>
      </c>
      <c r="F14" s="101">
        <v>44774</v>
      </c>
      <c r="G14" s="3">
        <v>72</v>
      </c>
      <c r="H14" s="3">
        <v>55</v>
      </c>
      <c r="I14" s="3">
        <v>51</v>
      </c>
      <c r="J14" s="3">
        <v>44</v>
      </c>
      <c r="K14" s="3">
        <v>222</v>
      </c>
      <c r="L14" s="3">
        <v>55.5</v>
      </c>
    </row>
    <row r="15" spans="2:12">
      <c r="B15" s="3" t="s">
        <v>2125</v>
      </c>
      <c r="C15" s="3" t="s">
        <v>2102</v>
      </c>
      <c r="D15" s="3" t="s">
        <v>2103</v>
      </c>
      <c r="E15" s="3" t="s">
        <v>2126</v>
      </c>
      <c r="F15" s="101">
        <v>44805</v>
      </c>
      <c r="G15" s="3">
        <v>99</v>
      </c>
      <c r="H15" s="3">
        <v>66</v>
      </c>
      <c r="I15" s="3">
        <v>64</v>
      </c>
      <c r="J15" s="3">
        <v>99</v>
      </c>
      <c r="K15" s="3">
        <v>328</v>
      </c>
      <c r="L15" s="3">
        <v>82</v>
      </c>
    </row>
    <row r="16" spans="2:12">
      <c r="B16" s="3" t="s">
        <v>2127</v>
      </c>
      <c r="C16" s="3" t="s">
        <v>2106</v>
      </c>
      <c r="D16" s="3" t="s">
        <v>2107</v>
      </c>
      <c r="E16" s="3" t="s">
        <v>2128</v>
      </c>
      <c r="F16" s="101">
        <v>44835</v>
      </c>
      <c r="G16" s="3">
        <v>77</v>
      </c>
      <c r="H16" s="3">
        <v>88</v>
      </c>
      <c r="I16" s="3">
        <v>82</v>
      </c>
      <c r="J16" s="3">
        <v>55</v>
      </c>
      <c r="K16" s="3">
        <v>302</v>
      </c>
      <c r="L16" s="3">
        <v>75.5</v>
      </c>
    </row>
    <row r="17" spans="2:12">
      <c r="B17" s="3" t="s">
        <v>2129</v>
      </c>
      <c r="C17" s="3" t="s">
        <v>2110</v>
      </c>
      <c r="D17" s="3" t="s">
        <v>2111</v>
      </c>
      <c r="E17" s="3" t="s">
        <v>2130</v>
      </c>
      <c r="F17" s="101">
        <v>44866</v>
      </c>
      <c r="G17" s="3">
        <v>63</v>
      </c>
      <c r="H17" s="3">
        <v>55</v>
      </c>
      <c r="I17" s="3">
        <v>89</v>
      </c>
      <c r="J17" s="3">
        <v>99</v>
      </c>
      <c r="K17" s="3">
        <v>306</v>
      </c>
      <c r="L17" s="3">
        <v>76.5</v>
      </c>
    </row>
    <row r="18" spans="2:12">
      <c r="B18" s="3" t="s">
        <v>2131</v>
      </c>
      <c r="C18" s="3" t="s">
        <v>2114</v>
      </c>
      <c r="D18" s="3" t="s">
        <v>2115</v>
      </c>
      <c r="E18" s="3" t="s">
        <v>2132</v>
      </c>
      <c r="F18" s="101">
        <v>44896</v>
      </c>
      <c r="G18" s="3">
        <v>80</v>
      </c>
      <c r="H18" s="3">
        <v>77</v>
      </c>
      <c r="I18" s="3">
        <v>98</v>
      </c>
      <c r="J18" s="3">
        <v>88</v>
      </c>
      <c r="K18" s="3">
        <v>343</v>
      </c>
      <c r="L18" s="3">
        <v>85.8</v>
      </c>
    </row>
    <row r="20" spans="2:12" ht="19.2">
      <c r="B20" s="102" t="s">
        <v>2133</v>
      </c>
      <c r="E20" s="103" t="s">
        <v>2134</v>
      </c>
      <c r="F20" s="102"/>
    </row>
    <row r="21" spans="2:12" ht="19.2">
      <c r="E21" s="103" t="s">
        <v>2135</v>
      </c>
    </row>
    <row r="22" spans="2:12" ht="19.2">
      <c r="E22" s="103" t="s">
        <v>2136</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C7AE-2AD7-479D-BB6E-AB6C42BD6F38}">
  <sheetPr codeName="Sheet17"/>
  <dimension ref="B1:AV62"/>
  <sheetViews>
    <sheetView zoomScale="55" zoomScaleNormal="55" workbookViewId="0">
      <selection activeCell="T9" sqref="T9:X14"/>
    </sheetView>
  </sheetViews>
  <sheetFormatPr defaultColWidth="9" defaultRowHeight="16.5" customHeight="1"/>
  <cols>
    <col min="1" max="1" width="5.19921875" style="124" customWidth="1"/>
    <col min="2" max="2" width="6.19921875" style="124" customWidth="1"/>
    <col min="3" max="3" width="10.69921875" style="124" customWidth="1"/>
    <col min="4" max="4" width="4.59765625" style="124" customWidth="1"/>
    <col min="5" max="19" width="5" style="124" customWidth="1"/>
    <col min="20" max="21" width="5.09765625" style="124" bestFit="1" customWidth="1"/>
    <col min="22" max="22" width="4.69921875" style="124" bestFit="1" customWidth="1"/>
    <col min="23" max="23" width="5" style="124" bestFit="1" customWidth="1"/>
    <col min="24" max="24" width="6.69921875" style="124" bestFit="1" customWidth="1"/>
    <col min="25" max="31" width="5" style="124" customWidth="1"/>
    <col min="32" max="34" width="5.09765625" style="124" customWidth="1"/>
    <col min="35" max="35" width="7.19921875" style="124" bestFit="1" customWidth="1"/>
    <col min="36" max="36" width="5" style="124" bestFit="1" customWidth="1"/>
    <col min="37" max="37" width="6.69921875" style="124" bestFit="1" customWidth="1"/>
    <col min="38" max="38" width="7.19921875" style="124" customWidth="1"/>
    <col min="39" max="73" width="5" style="124" customWidth="1"/>
    <col min="74" max="16384" width="9" style="124"/>
  </cols>
  <sheetData>
    <row r="1" spans="2:48" s="122" customFormat="1" ht="16.5" customHeight="1">
      <c r="S1" s="359"/>
      <c r="T1" s="359"/>
      <c r="U1" s="359"/>
      <c r="V1" s="359"/>
      <c r="W1" s="359"/>
      <c r="X1" s="359"/>
      <c r="Y1" s="359"/>
    </row>
    <row r="2" spans="2:48" s="122" customFormat="1" ht="22.5" customHeight="1">
      <c r="D2" s="123"/>
    </row>
    <row r="3" spans="2:48" s="122" customFormat="1" ht="17.25" customHeight="1"/>
    <row r="4" spans="2:48" ht="25.2" customHeight="1">
      <c r="B4" s="360" t="s">
        <v>2148</v>
      </c>
      <c r="C4" s="360"/>
      <c r="D4" s="360"/>
      <c r="E4" s="360"/>
      <c r="F4" s="360"/>
      <c r="G4" s="360"/>
      <c r="H4" s="360"/>
      <c r="I4" s="360"/>
      <c r="J4" s="360"/>
      <c r="K4" s="360"/>
      <c r="L4" s="360"/>
      <c r="M4" s="360"/>
      <c r="N4" s="360"/>
      <c r="O4" s="360"/>
      <c r="P4" s="360"/>
      <c r="Q4" s="360"/>
      <c r="R4" s="360"/>
      <c r="S4" s="360"/>
      <c r="T4" s="360"/>
      <c r="U4" s="360"/>
      <c r="V4" s="360"/>
      <c r="W4" s="360"/>
      <c r="X4" s="360"/>
      <c r="Y4" s="360"/>
      <c r="Z4" s="360"/>
      <c r="AA4" s="360"/>
      <c r="AB4" s="360"/>
      <c r="AC4" s="360"/>
      <c r="AD4" s="360"/>
      <c r="AE4" s="360"/>
      <c r="AF4" s="360"/>
      <c r="AG4" s="360"/>
      <c r="AH4" s="360"/>
      <c r="AI4" s="360"/>
      <c r="AJ4" s="360"/>
      <c r="AK4" s="360"/>
      <c r="AL4"/>
      <c r="AM4" s="361" t="s">
        <v>2149</v>
      </c>
      <c r="AN4" s="362"/>
      <c r="AO4" s="362"/>
      <c r="AP4" s="362"/>
      <c r="AQ4" s="362"/>
      <c r="AR4" s="362"/>
      <c r="AS4" s="362"/>
      <c r="AT4" s="362"/>
      <c r="AU4" s="362"/>
      <c r="AV4" s="362"/>
    </row>
    <row r="5" spans="2:48" ht="30" customHeight="1">
      <c r="B5" s="360"/>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360"/>
      <c r="AF5" s="360"/>
      <c r="AG5" s="360"/>
      <c r="AH5" s="360"/>
      <c r="AI5" s="360"/>
      <c r="AJ5" s="360"/>
      <c r="AK5" s="360"/>
      <c r="AL5"/>
      <c r="AM5" s="362"/>
      <c r="AN5" s="362"/>
      <c r="AO5" s="362"/>
      <c r="AP5" s="362"/>
      <c r="AQ5" s="362"/>
      <c r="AR5" s="362"/>
      <c r="AS5" s="362"/>
      <c r="AT5" s="362"/>
      <c r="AU5" s="362"/>
      <c r="AV5" s="362"/>
    </row>
    <row r="6" spans="2:48" s="126" customFormat="1" ht="18" thickBot="1">
      <c r="B6" s="125"/>
      <c r="C6" s="125"/>
      <c r="D6" s="125"/>
      <c r="E6" s="125"/>
      <c r="F6" s="125">
        <v>1</v>
      </c>
      <c r="G6" s="125">
        <v>1</v>
      </c>
      <c r="H6" s="125">
        <v>1</v>
      </c>
      <c r="I6" s="125">
        <v>1</v>
      </c>
      <c r="J6" s="125"/>
      <c r="K6" s="125">
        <v>1</v>
      </c>
      <c r="L6" s="125">
        <v>2</v>
      </c>
      <c r="M6" s="125">
        <v>2</v>
      </c>
      <c r="N6" s="125">
        <v>2</v>
      </c>
      <c r="O6" s="125">
        <v>2</v>
      </c>
      <c r="P6" s="125">
        <v>2</v>
      </c>
      <c r="Q6" s="125">
        <v>2</v>
      </c>
      <c r="R6" s="125"/>
      <c r="S6" s="125">
        <v>2</v>
      </c>
      <c r="T6" s="125"/>
      <c r="U6" s="125"/>
      <c r="V6" s="125"/>
      <c r="W6" s="125"/>
      <c r="X6" s="125"/>
      <c r="Y6" s="125">
        <v>3</v>
      </c>
      <c r="Z6" s="125">
        <v>3</v>
      </c>
      <c r="AA6" s="125">
        <v>3</v>
      </c>
      <c r="AB6" s="125">
        <v>3</v>
      </c>
      <c r="AC6" s="125">
        <v>3</v>
      </c>
      <c r="AD6" s="125">
        <v>3</v>
      </c>
      <c r="AE6" s="125">
        <v>3</v>
      </c>
      <c r="AF6" s="125"/>
      <c r="AG6" s="125"/>
      <c r="AH6" s="125"/>
      <c r="AI6" s="125"/>
      <c r="AJ6" s="125"/>
      <c r="AK6" s="125"/>
      <c r="AL6"/>
      <c r="AM6" s="362"/>
      <c r="AN6" s="362"/>
      <c r="AO6" s="362"/>
      <c r="AP6" s="362"/>
      <c r="AQ6" s="362"/>
      <c r="AR6" s="362"/>
      <c r="AS6" s="362"/>
      <c r="AT6" s="362"/>
      <c r="AU6" s="362"/>
      <c r="AV6" s="362"/>
    </row>
    <row r="7" spans="2:48" ht="17.399999999999999">
      <c r="B7" s="363" t="s">
        <v>2150</v>
      </c>
      <c r="C7" s="365" t="s">
        <v>2151</v>
      </c>
      <c r="D7" s="367" t="s">
        <v>2152</v>
      </c>
      <c r="E7" s="369" t="s">
        <v>2153</v>
      </c>
      <c r="F7" s="370"/>
      <c r="G7" s="370"/>
      <c r="H7" s="370"/>
      <c r="I7" s="370"/>
      <c r="J7" s="370"/>
      <c r="K7" s="371"/>
      <c r="L7" s="369" t="s">
        <v>2154</v>
      </c>
      <c r="M7" s="370"/>
      <c r="N7" s="370"/>
      <c r="O7" s="370"/>
      <c r="P7" s="370"/>
      <c r="Q7" s="370"/>
      <c r="R7" s="370"/>
      <c r="S7" s="370"/>
      <c r="T7" s="372" t="s">
        <v>2155</v>
      </c>
      <c r="U7" s="373"/>
      <c r="V7" s="373"/>
      <c r="W7" s="374" t="s">
        <v>2156</v>
      </c>
      <c r="X7" s="375"/>
      <c r="Y7" s="376" t="s">
        <v>2157</v>
      </c>
      <c r="Z7" s="370"/>
      <c r="AA7" s="370"/>
      <c r="AB7" s="370"/>
      <c r="AC7" s="370"/>
      <c r="AD7" s="370"/>
      <c r="AE7" s="370"/>
      <c r="AF7" s="370" t="s">
        <v>2155</v>
      </c>
      <c r="AG7" s="370"/>
      <c r="AH7" s="370"/>
      <c r="AI7" s="370"/>
      <c r="AJ7" s="370" t="s">
        <v>2158</v>
      </c>
      <c r="AK7" s="371"/>
      <c r="AL7"/>
      <c r="AM7" s="362"/>
      <c r="AN7" s="362"/>
      <c r="AO7" s="362"/>
      <c r="AP7" s="362"/>
      <c r="AQ7" s="362"/>
      <c r="AR7" s="362"/>
      <c r="AS7" s="362"/>
      <c r="AT7" s="362"/>
      <c r="AU7" s="362"/>
      <c r="AV7" s="362"/>
    </row>
    <row r="8" spans="2:48" ht="18" thickBot="1">
      <c r="B8" s="364"/>
      <c r="C8" s="366"/>
      <c r="D8" s="368"/>
      <c r="E8" s="127" t="s">
        <v>2159</v>
      </c>
      <c r="F8" s="128" t="s">
        <v>2160</v>
      </c>
      <c r="G8" s="128" t="s">
        <v>2161</v>
      </c>
      <c r="H8" s="128" t="s">
        <v>2162</v>
      </c>
      <c r="I8" s="128" t="s">
        <v>2163</v>
      </c>
      <c r="J8" s="128" t="s">
        <v>2164</v>
      </c>
      <c r="K8" s="129" t="s">
        <v>2165</v>
      </c>
      <c r="L8" s="127" t="s">
        <v>2166</v>
      </c>
      <c r="M8" s="128" t="s">
        <v>2167</v>
      </c>
      <c r="N8" s="128" t="s">
        <v>2168</v>
      </c>
      <c r="O8" s="128" t="s">
        <v>2169</v>
      </c>
      <c r="P8" s="128" t="s">
        <v>2170</v>
      </c>
      <c r="Q8" s="128" t="s">
        <v>2171</v>
      </c>
      <c r="R8" s="128" t="s">
        <v>2172</v>
      </c>
      <c r="S8" s="128" t="s">
        <v>2173</v>
      </c>
      <c r="T8" s="130">
        <v>301</v>
      </c>
      <c r="U8" s="130">
        <v>302</v>
      </c>
      <c r="V8" s="130">
        <v>303</v>
      </c>
      <c r="W8" s="131" t="s">
        <v>2174</v>
      </c>
      <c r="X8" s="132" t="s">
        <v>2175</v>
      </c>
      <c r="Y8" s="133" t="s">
        <v>2176</v>
      </c>
      <c r="Z8" s="128" t="s">
        <v>2177</v>
      </c>
      <c r="AA8" s="128" t="s">
        <v>2178</v>
      </c>
      <c r="AB8" s="128" t="s">
        <v>2179</v>
      </c>
      <c r="AC8" s="128" t="s">
        <v>2180</v>
      </c>
      <c r="AD8" s="128" t="s">
        <v>2181</v>
      </c>
      <c r="AE8" s="128" t="s">
        <v>2182</v>
      </c>
      <c r="AF8" s="130">
        <v>301</v>
      </c>
      <c r="AG8" s="130">
        <v>302</v>
      </c>
      <c r="AH8" s="130">
        <v>303</v>
      </c>
      <c r="AI8" s="130">
        <v>304</v>
      </c>
      <c r="AJ8" s="130" t="s">
        <v>2174</v>
      </c>
      <c r="AK8" s="134" t="s">
        <v>2175</v>
      </c>
      <c r="AL8"/>
      <c r="AM8" s="362"/>
      <c r="AN8" s="362"/>
      <c r="AO8" s="362"/>
      <c r="AP8" s="362"/>
      <c r="AQ8" s="362"/>
      <c r="AR8" s="362"/>
      <c r="AS8" s="362"/>
      <c r="AT8" s="362"/>
      <c r="AU8" s="362"/>
      <c r="AV8" s="362"/>
    </row>
    <row r="9" spans="2:48" ht="19.2" customHeight="1">
      <c r="B9" s="309" t="s">
        <v>2183</v>
      </c>
      <c r="C9" s="312" t="s">
        <v>2184</v>
      </c>
      <c r="D9" s="135">
        <f>32+0+2+2+4</f>
        <v>40</v>
      </c>
      <c r="E9" s="377" t="s">
        <v>2185</v>
      </c>
      <c r="F9" s="377"/>
      <c r="G9" s="377"/>
      <c r="H9" s="377"/>
      <c r="I9" s="377"/>
      <c r="J9" s="377"/>
      <c r="K9" s="377"/>
      <c r="L9" s="351" t="s">
        <v>2186</v>
      </c>
      <c r="M9" s="351"/>
      <c r="N9" s="351"/>
      <c r="O9" s="351"/>
      <c r="P9" s="351"/>
      <c r="Q9" s="351"/>
      <c r="R9" s="351"/>
      <c r="S9" s="351"/>
      <c r="T9" s="314"/>
      <c r="U9" s="315"/>
      <c r="V9" s="315"/>
      <c r="W9" s="315"/>
      <c r="X9" s="352"/>
      <c r="Y9" s="351" t="s">
        <v>2187</v>
      </c>
      <c r="Z9" s="351"/>
      <c r="AA9" s="351"/>
      <c r="AB9" s="351"/>
      <c r="AC9" s="351"/>
      <c r="AD9" s="351"/>
      <c r="AE9" s="351"/>
      <c r="AF9" s="314"/>
      <c r="AG9" s="315"/>
      <c r="AH9" s="315"/>
      <c r="AI9" s="315"/>
      <c r="AJ9" s="315"/>
      <c r="AK9" s="316"/>
      <c r="AL9"/>
      <c r="AM9" s="362"/>
      <c r="AN9" s="362"/>
      <c r="AO9" s="362"/>
      <c r="AP9" s="362"/>
      <c r="AQ9" s="362"/>
      <c r="AR9" s="362"/>
      <c r="AS9" s="362"/>
      <c r="AT9" s="362"/>
      <c r="AU9" s="362"/>
      <c r="AV9" s="362"/>
    </row>
    <row r="10" spans="2:48" ht="19.2" customHeight="1">
      <c r="B10" s="310"/>
      <c r="C10" s="239"/>
      <c r="D10" s="136" t="s">
        <v>2188</v>
      </c>
      <c r="E10" s="268">
        <v>14</v>
      </c>
      <c r="F10" s="278"/>
      <c r="G10" s="278"/>
      <c r="H10" s="269"/>
      <c r="I10" s="268">
        <v>10</v>
      </c>
      <c r="J10" s="278"/>
      <c r="K10" s="269"/>
      <c r="L10" s="137">
        <v>41</v>
      </c>
      <c r="M10" s="137">
        <v>39</v>
      </c>
      <c r="N10" s="137">
        <v>17</v>
      </c>
      <c r="O10" s="137">
        <v>31</v>
      </c>
      <c r="P10" s="137">
        <v>11</v>
      </c>
      <c r="Q10" s="137">
        <v>48</v>
      </c>
      <c r="R10" s="137">
        <v>12</v>
      </c>
      <c r="S10" s="137">
        <v>46</v>
      </c>
      <c r="T10" s="317"/>
      <c r="U10" s="318"/>
      <c r="V10" s="318"/>
      <c r="W10" s="318"/>
      <c r="X10" s="348"/>
      <c r="Y10" s="137">
        <v>28</v>
      </c>
      <c r="Z10" s="137">
        <v>6</v>
      </c>
      <c r="AA10" s="138">
        <v>5</v>
      </c>
      <c r="AB10" s="137">
        <v>43</v>
      </c>
      <c r="AC10" s="137">
        <v>32</v>
      </c>
      <c r="AD10" s="137">
        <v>29</v>
      </c>
      <c r="AE10" s="138">
        <v>44</v>
      </c>
      <c r="AF10" s="317"/>
      <c r="AG10" s="318"/>
      <c r="AH10" s="318"/>
      <c r="AI10" s="318"/>
      <c r="AJ10" s="318"/>
      <c r="AK10" s="319"/>
      <c r="AL10"/>
      <c r="AM10" s="362"/>
      <c r="AN10" s="362"/>
      <c r="AO10" s="362"/>
      <c r="AP10" s="362"/>
      <c r="AQ10" s="362"/>
      <c r="AR10" s="362"/>
      <c r="AS10" s="362"/>
      <c r="AT10" s="362"/>
      <c r="AU10" s="362"/>
      <c r="AV10" s="362"/>
    </row>
    <row r="11" spans="2:48" ht="19.2">
      <c r="B11" s="310"/>
      <c r="C11" s="139" t="s">
        <v>2189</v>
      </c>
      <c r="D11" s="140" t="s">
        <v>2190</v>
      </c>
      <c r="E11" s="270"/>
      <c r="F11" s="279"/>
      <c r="G11" s="279"/>
      <c r="H11" s="271"/>
      <c r="I11" s="270"/>
      <c r="J11" s="279"/>
      <c r="K11" s="271"/>
      <c r="L11" s="137">
        <v>2</v>
      </c>
      <c r="M11" s="137">
        <v>50</v>
      </c>
      <c r="N11" s="137">
        <v>47</v>
      </c>
      <c r="O11" s="137">
        <v>45</v>
      </c>
      <c r="P11" s="137">
        <v>26</v>
      </c>
      <c r="Q11" s="137">
        <v>19</v>
      </c>
      <c r="R11" s="137">
        <v>13</v>
      </c>
      <c r="S11" s="137">
        <v>34</v>
      </c>
      <c r="T11" s="317"/>
      <c r="U11" s="318"/>
      <c r="V11" s="318"/>
      <c r="W11" s="318"/>
      <c r="X11" s="348"/>
      <c r="Y11" s="137">
        <v>27</v>
      </c>
      <c r="Z11" s="137">
        <v>20</v>
      </c>
      <c r="AA11" s="138">
        <v>22</v>
      </c>
      <c r="AB11" s="137">
        <v>36</v>
      </c>
      <c r="AC11" s="137">
        <v>52</v>
      </c>
      <c r="AD11" s="137">
        <v>51</v>
      </c>
      <c r="AE11" s="138">
        <v>33</v>
      </c>
      <c r="AF11" s="317"/>
      <c r="AG11" s="318"/>
      <c r="AH11" s="318"/>
      <c r="AI11" s="318"/>
      <c r="AJ11" s="318"/>
      <c r="AK11" s="319"/>
      <c r="AL11"/>
      <c r="AM11" s="362"/>
      <c r="AN11" s="362"/>
      <c r="AO11" s="362"/>
      <c r="AP11" s="362"/>
      <c r="AQ11" s="362"/>
      <c r="AR11" s="362"/>
      <c r="AS11" s="362"/>
      <c r="AT11" s="362"/>
      <c r="AU11" s="362"/>
      <c r="AV11" s="362"/>
    </row>
    <row r="12" spans="2:48" ht="17.399999999999999">
      <c r="B12" s="310"/>
      <c r="C12" s="239" t="s">
        <v>2191</v>
      </c>
      <c r="D12" s="141">
        <f>6+4</f>
        <v>10</v>
      </c>
      <c r="E12" s="286" t="s">
        <v>2185</v>
      </c>
      <c r="F12" s="286"/>
      <c r="G12" s="286"/>
      <c r="H12" s="286"/>
      <c r="I12" s="286"/>
      <c r="J12" s="286"/>
      <c r="K12" s="286"/>
      <c r="L12" s="286" t="s">
        <v>2185</v>
      </c>
      <c r="M12" s="286"/>
      <c r="N12" s="286"/>
      <c r="O12" s="286"/>
      <c r="P12" s="286"/>
      <c r="Q12" s="286"/>
      <c r="R12" s="286"/>
      <c r="S12" s="286"/>
      <c r="T12" s="317"/>
      <c r="U12" s="318"/>
      <c r="V12" s="318"/>
      <c r="W12" s="318"/>
      <c r="X12" s="348"/>
      <c r="Y12" s="286" t="s">
        <v>2185</v>
      </c>
      <c r="Z12" s="286"/>
      <c r="AA12" s="286"/>
      <c r="AB12" s="286"/>
      <c r="AC12" s="286"/>
      <c r="AD12" s="286"/>
      <c r="AE12" s="286"/>
      <c r="AF12" s="317"/>
      <c r="AG12" s="318"/>
      <c r="AH12" s="318"/>
      <c r="AI12" s="318"/>
      <c r="AJ12" s="318"/>
      <c r="AK12" s="319"/>
      <c r="AL12"/>
      <c r="AM12" s="362"/>
      <c r="AN12" s="362"/>
      <c r="AO12" s="362"/>
      <c r="AP12" s="362"/>
      <c r="AQ12" s="362"/>
      <c r="AR12" s="362"/>
      <c r="AS12" s="362"/>
      <c r="AT12" s="362"/>
      <c r="AU12" s="362"/>
      <c r="AV12" s="362"/>
    </row>
    <row r="13" spans="2:48" ht="17.7" customHeight="1">
      <c r="B13" s="310"/>
      <c r="C13" s="239"/>
      <c r="D13" s="136" t="s">
        <v>2188</v>
      </c>
      <c r="E13" s="268">
        <v>11</v>
      </c>
      <c r="F13" s="278"/>
      <c r="G13" s="278"/>
      <c r="H13" s="269"/>
      <c r="I13" s="268">
        <v>41</v>
      </c>
      <c r="J13" s="278"/>
      <c r="K13" s="269"/>
      <c r="L13" s="268">
        <v>31</v>
      </c>
      <c r="M13" s="278"/>
      <c r="N13" s="278"/>
      <c r="O13" s="269"/>
      <c r="P13" s="268">
        <v>12</v>
      </c>
      <c r="Q13" s="278"/>
      <c r="R13" s="278"/>
      <c r="S13" s="269"/>
      <c r="T13" s="317"/>
      <c r="U13" s="318"/>
      <c r="V13" s="318"/>
      <c r="W13" s="318"/>
      <c r="X13" s="348"/>
      <c r="Y13" s="268">
        <v>18</v>
      </c>
      <c r="Z13" s="278"/>
      <c r="AA13" s="278"/>
      <c r="AB13" s="269"/>
      <c r="AC13" s="268">
        <v>37</v>
      </c>
      <c r="AD13" s="278"/>
      <c r="AE13" s="269"/>
      <c r="AF13" s="317"/>
      <c r="AG13" s="318"/>
      <c r="AH13" s="318"/>
      <c r="AI13" s="318"/>
      <c r="AJ13" s="318"/>
      <c r="AK13" s="319"/>
      <c r="AL13"/>
      <c r="AM13" s="362"/>
      <c r="AN13" s="362"/>
      <c r="AO13" s="362"/>
      <c r="AP13" s="362"/>
      <c r="AQ13" s="362"/>
      <c r="AR13" s="362"/>
      <c r="AS13" s="362"/>
      <c r="AT13" s="362"/>
      <c r="AU13" s="362"/>
      <c r="AV13" s="362"/>
    </row>
    <row r="14" spans="2:48" ht="17.7" customHeight="1">
      <c r="B14" s="310"/>
      <c r="C14" s="139" t="s">
        <v>2192</v>
      </c>
      <c r="D14" s="140" t="s">
        <v>2190</v>
      </c>
      <c r="E14" s="270"/>
      <c r="F14" s="279"/>
      <c r="G14" s="279"/>
      <c r="H14" s="271"/>
      <c r="I14" s="270"/>
      <c r="J14" s="279"/>
      <c r="K14" s="271"/>
      <c r="L14" s="270"/>
      <c r="M14" s="279"/>
      <c r="N14" s="279"/>
      <c r="O14" s="271"/>
      <c r="P14" s="270"/>
      <c r="Q14" s="279"/>
      <c r="R14" s="279"/>
      <c r="S14" s="271"/>
      <c r="T14" s="320"/>
      <c r="U14" s="321"/>
      <c r="V14" s="321"/>
      <c r="W14" s="321"/>
      <c r="X14" s="353"/>
      <c r="Y14" s="270"/>
      <c r="Z14" s="279"/>
      <c r="AA14" s="279"/>
      <c r="AB14" s="271"/>
      <c r="AC14" s="270"/>
      <c r="AD14" s="279"/>
      <c r="AE14" s="271"/>
      <c r="AF14" s="320"/>
      <c r="AG14" s="321"/>
      <c r="AH14" s="321"/>
      <c r="AI14" s="321"/>
      <c r="AJ14" s="321"/>
      <c r="AK14" s="322"/>
      <c r="AL14"/>
      <c r="AM14" s="362"/>
      <c r="AN14" s="362"/>
      <c r="AO14" s="362"/>
      <c r="AP14" s="362"/>
      <c r="AQ14" s="362"/>
      <c r="AR14" s="362"/>
      <c r="AS14" s="362"/>
      <c r="AT14" s="362"/>
      <c r="AU14" s="362"/>
      <c r="AV14" s="362"/>
    </row>
    <row r="15" spans="2:48" ht="17.7" customHeight="1">
      <c r="B15" s="310"/>
      <c r="C15" s="239" t="s">
        <v>2193</v>
      </c>
      <c r="D15" s="141">
        <f>26+2+1+1+4</f>
        <v>34</v>
      </c>
      <c r="E15" s="282" t="s">
        <v>73</v>
      </c>
      <c r="F15" s="282"/>
      <c r="G15" s="282"/>
      <c r="H15" s="282"/>
      <c r="I15" s="282"/>
      <c r="J15" s="282"/>
      <c r="K15" s="282"/>
      <c r="L15" s="286" t="s">
        <v>2185</v>
      </c>
      <c r="M15" s="286"/>
      <c r="N15" s="286"/>
      <c r="O15" s="286"/>
      <c r="P15" s="286"/>
      <c r="Q15" s="286"/>
      <c r="R15" s="286"/>
      <c r="S15" s="286"/>
      <c r="T15" s="343" t="s">
        <v>2194</v>
      </c>
      <c r="U15" s="344"/>
      <c r="V15" s="345"/>
      <c r="W15" s="346"/>
      <c r="X15" s="347"/>
      <c r="Y15" s="286" t="s">
        <v>2185</v>
      </c>
      <c r="Z15" s="286"/>
      <c r="AA15" s="286"/>
      <c r="AB15" s="286"/>
      <c r="AC15" s="286"/>
      <c r="AD15" s="286"/>
      <c r="AE15" s="286"/>
      <c r="AF15" s="346"/>
      <c r="AG15" s="355"/>
      <c r="AH15" s="347"/>
      <c r="AI15" s="142" t="s">
        <v>2195</v>
      </c>
      <c r="AJ15" s="346"/>
      <c r="AK15" s="357"/>
      <c r="AL15"/>
      <c r="AM15" s="362"/>
      <c r="AN15" s="362"/>
      <c r="AO15" s="362"/>
      <c r="AP15" s="362"/>
      <c r="AQ15" s="362"/>
      <c r="AR15" s="362"/>
      <c r="AS15" s="362"/>
      <c r="AT15" s="362"/>
      <c r="AU15" s="362"/>
      <c r="AV15" s="362"/>
    </row>
    <row r="16" spans="2:48" ht="19.2">
      <c r="B16" s="310"/>
      <c r="C16" s="239"/>
      <c r="D16" s="136" t="s">
        <v>2188</v>
      </c>
      <c r="E16" s="137">
        <v>42</v>
      </c>
      <c r="F16" s="137">
        <v>43</v>
      </c>
      <c r="G16" s="137">
        <v>28</v>
      </c>
      <c r="H16" s="137">
        <v>45</v>
      </c>
      <c r="I16" s="137">
        <v>38</v>
      </c>
      <c r="J16" s="137">
        <v>1</v>
      </c>
      <c r="K16" s="137">
        <v>26</v>
      </c>
      <c r="L16" s="268">
        <v>15</v>
      </c>
      <c r="M16" s="278"/>
      <c r="N16" s="278"/>
      <c r="O16" s="269"/>
      <c r="P16" s="268">
        <v>7</v>
      </c>
      <c r="Q16" s="278"/>
      <c r="R16" s="278"/>
      <c r="S16" s="269"/>
      <c r="T16" s="137">
        <v>14</v>
      </c>
      <c r="U16" s="137">
        <v>48</v>
      </c>
      <c r="V16" s="137">
        <v>30</v>
      </c>
      <c r="W16" s="317"/>
      <c r="X16" s="348"/>
      <c r="Y16" s="268">
        <v>32</v>
      </c>
      <c r="Z16" s="278"/>
      <c r="AA16" s="278"/>
      <c r="AB16" s="269"/>
      <c r="AC16" s="268">
        <v>4</v>
      </c>
      <c r="AD16" s="278"/>
      <c r="AE16" s="269"/>
      <c r="AF16" s="317"/>
      <c r="AG16" s="318"/>
      <c r="AH16" s="348"/>
      <c r="AI16" s="138">
        <v>33</v>
      </c>
      <c r="AJ16" s="317"/>
      <c r="AK16" s="319"/>
      <c r="AL16"/>
      <c r="AM16" s="362"/>
      <c r="AN16" s="362"/>
      <c r="AO16" s="362"/>
      <c r="AP16" s="362"/>
      <c r="AQ16" s="362"/>
      <c r="AR16" s="362"/>
      <c r="AS16" s="362"/>
      <c r="AT16" s="362"/>
      <c r="AU16" s="362"/>
      <c r="AV16" s="362"/>
    </row>
    <row r="17" spans="2:48" ht="19.8" thickBot="1">
      <c r="B17" s="311"/>
      <c r="C17" s="143" t="s">
        <v>2196</v>
      </c>
      <c r="D17" s="144" t="s">
        <v>2190</v>
      </c>
      <c r="E17" s="145">
        <v>19</v>
      </c>
      <c r="F17" s="145">
        <v>3</v>
      </c>
      <c r="G17" s="145">
        <v>25</v>
      </c>
      <c r="H17" s="145">
        <v>40</v>
      </c>
      <c r="I17" s="145">
        <v>44</v>
      </c>
      <c r="J17" s="145">
        <v>31</v>
      </c>
      <c r="K17" s="145">
        <v>9</v>
      </c>
      <c r="L17" s="301"/>
      <c r="M17" s="302"/>
      <c r="N17" s="302"/>
      <c r="O17" s="303"/>
      <c r="P17" s="301"/>
      <c r="Q17" s="302"/>
      <c r="R17" s="302"/>
      <c r="S17" s="303"/>
      <c r="T17" s="145">
        <v>46</v>
      </c>
      <c r="U17" s="145">
        <v>34</v>
      </c>
      <c r="V17" s="145">
        <v>27</v>
      </c>
      <c r="W17" s="349"/>
      <c r="X17" s="350"/>
      <c r="Y17" s="301"/>
      <c r="Z17" s="302"/>
      <c r="AA17" s="302"/>
      <c r="AB17" s="303"/>
      <c r="AC17" s="301"/>
      <c r="AD17" s="302"/>
      <c r="AE17" s="303"/>
      <c r="AF17" s="349"/>
      <c r="AG17" s="356"/>
      <c r="AH17" s="350"/>
      <c r="AI17" s="146">
        <v>12</v>
      </c>
      <c r="AJ17" s="349"/>
      <c r="AK17" s="358"/>
      <c r="AL17"/>
      <c r="AM17" s="362"/>
      <c r="AN17" s="362"/>
      <c r="AO17" s="362"/>
      <c r="AP17" s="362"/>
      <c r="AQ17" s="362"/>
      <c r="AR17" s="362"/>
      <c r="AS17" s="362"/>
      <c r="AT17" s="362"/>
      <c r="AU17" s="362"/>
      <c r="AV17" s="362"/>
    </row>
    <row r="18" spans="2:48" ht="17.7" customHeight="1">
      <c r="B18" s="309" t="s">
        <v>2197</v>
      </c>
      <c r="C18" s="312" t="s">
        <v>2184</v>
      </c>
      <c r="D18" s="147">
        <f>41+1+1+2+1+0+2+5</f>
        <v>53</v>
      </c>
      <c r="E18" s="351" t="s">
        <v>2198</v>
      </c>
      <c r="F18" s="351"/>
      <c r="G18" s="351"/>
      <c r="H18" s="351"/>
      <c r="I18" s="351"/>
      <c r="J18" s="351"/>
      <c r="K18" s="351"/>
      <c r="L18" s="351" t="s">
        <v>2199</v>
      </c>
      <c r="M18" s="351"/>
      <c r="N18" s="351"/>
      <c r="O18" s="351"/>
      <c r="P18" s="351" t="s">
        <v>2200</v>
      </c>
      <c r="Q18" s="351"/>
      <c r="R18" s="351"/>
      <c r="S18" s="351"/>
      <c r="T18" s="314"/>
      <c r="U18" s="315"/>
      <c r="V18" s="315"/>
      <c r="W18" s="315"/>
      <c r="X18" s="352"/>
      <c r="Y18" s="148" t="s">
        <v>2201</v>
      </c>
      <c r="Z18" s="351" t="s">
        <v>2202</v>
      </c>
      <c r="AA18" s="351"/>
      <c r="AB18" s="351"/>
      <c r="AC18" s="351"/>
      <c r="AD18" s="351" t="s">
        <v>2203</v>
      </c>
      <c r="AE18" s="351"/>
      <c r="AF18" s="314"/>
      <c r="AG18" s="315"/>
      <c r="AH18" s="315"/>
      <c r="AI18" s="315"/>
      <c r="AJ18" s="315"/>
      <c r="AK18" s="316"/>
      <c r="AL18"/>
      <c r="AM18" s="362"/>
      <c r="AN18" s="362"/>
      <c r="AO18" s="362"/>
      <c r="AP18" s="362"/>
      <c r="AQ18" s="362"/>
      <c r="AR18" s="362"/>
      <c r="AS18" s="362"/>
      <c r="AT18" s="362"/>
      <c r="AU18" s="362"/>
      <c r="AV18" s="362"/>
    </row>
    <row r="19" spans="2:48" ht="19.2" customHeight="1">
      <c r="B19" s="310"/>
      <c r="C19" s="239"/>
      <c r="D19" s="136" t="s">
        <v>2188</v>
      </c>
      <c r="E19" s="137">
        <v>47</v>
      </c>
      <c r="F19" s="137">
        <v>22</v>
      </c>
      <c r="G19" s="137">
        <v>26</v>
      </c>
      <c r="H19" s="137">
        <v>2</v>
      </c>
      <c r="I19" s="137">
        <v>50</v>
      </c>
      <c r="J19" s="137">
        <v>37</v>
      </c>
      <c r="K19" s="137">
        <v>46</v>
      </c>
      <c r="L19" s="137">
        <v>43</v>
      </c>
      <c r="M19" s="137">
        <v>7</v>
      </c>
      <c r="N19" s="137">
        <v>25</v>
      </c>
      <c r="O19" s="137">
        <v>15</v>
      </c>
      <c r="P19" s="137">
        <v>9</v>
      </c>
      <c r="Q19" s="137">
        <v>6</v>
      </c>
      <c r="R19" s="137">
        <v>42</v>
      </c>
      <c r="S19" s="137">
        <v>30</v>
      </c>
      <c r="T19" s="317"/>
      <c r="U19" s="318"/>
      <c r="V19" s="318"/>
      <c r="W19" s="318"/>
      <c r="X19" s="348"/>
      <c r="Y19" s="137">
        <v>44</v>
      </c>
      <c r="Z19" s="137">
        <v>36</v>
      </c>
      <c r="AA19" s="137">
        <v>40</v>
      </c>
      <c r="AB19" s="137">
        <v>39</v>
      </c>
      <c r="AC19" s="137">
        <v>34</v>
      </c>
      <c r="AD19" s="137">
        <v>38</v>
      </c>
      <c r="AE19" s="137">
        <v>45</v>
      </c>
      <c r="AF19" s="317"/>
      <c r="AG19" s="318"/>
      <c r="AH19" s="318"/>
      <c r="AI19" s="318"/>
      <c r="AJ19" s="318"/>
      <c r="AK19" s="319"/>
      <c r="AL19"/>
      <c r="AM19" s="362"/>
      <c r="AN19" s="362"/>
      <c r="AO19" s="362"/>
      <c r="AP19" s="362"/>
      <c r="AQ19" s="362"/>
      <c r="AR19" s="362"/>
      <c r="AS19" s="362"/>
      <c r="AT19" s="362"/>
      <c r="AU19" s="362"/>
      <c r="AV19" s="362"/>
    </row>
    <row r="20" spans="2:48" ht="20.399999999999999">
      <c r="B20" s="310"/>
      <c r="C20" s="139" t="s">
        <v>2189</v>
      </c>
      <c r="D20" s="140" t="s">
        <v>2190</v>
      </c>
      <c r="E20" s="137">
        <v>18</v>
      </c>
      <c r="F20" s="137">
        <v>1</v>
      </c>
      <c r="G20" s="137">
        <v>48</v>
      </c>
      <c r="H20" s="137">
        <v>27</v>
      </c>
      <c r="I20" s="149">
        <v>52</v>
      </c>
      <c r="J20" s="137">
        <v>20</v>
      </c>
      <c r="K20" s="137">
        <v>4</v>
      </c>
      <c r="L20" s="137">
        <v>5</v>
      </c>
      <c r="M20" s="137">
        <v>24</v>
      </c>
      <c r="N20" s="149">
        <v>51</v>
      </c>
      <c r="O20" s="149">
        <v>11</v>
      </c>
      <c r="P20" s="149">
        <v>29</v>
      </c>
      <c r="Q20" s="149">
        <v>14</v>
      </c>
      <c r="R20" s="137">
        <v>10</v>
      </c>
      <c r="S20" s="137">
        <v>8</v>
      </c>
      <c r="T20" s="317"/>
      <c r="U20" s="318"/>
      <c r="V20" s="318"/>
      <c r="W20" s="318"/>
      <c r="X20" s="348"/>
      <c r="Y20" s="137">
        <v>17</v>
      </c>
      <c r="Z20" s="323">
        <v>32</v>
      </c>
      <c r="AA20" s="323"/>
      <c r="AB20" s="324">
        <v>35</v>
      </c>
      <c r="AC20" s="325"/>
      <c r="AD20" s="326">
        <v>53</v>
      </c>
      <c r="AE20" s="327"/>
      <c r="AF20" s="317"/>
      <c r="AG20" s="318"/>
      <c r="AH20" s="318"/>
      <c r="AI20" s="318"/>
      <c r="AJ20" s="318"/>
      <c r="AK20" s="319"/>
      <c r="AL20"/>
      <c r="AM20" s="362"/>
      <c r="AN20" s="362"/>
      <c r="AO20" s="362"/>
      <c r="AP20" s="362"/>
      <c r="AQ20" s="362"/>
      <c r="AR20" s="362"/>
      <c r="AS20" s="362"/>
      <c r="AT20" s="362"/>
      <c r="AU20" s="362"/>
      <c r="AV20" s="362"/>
    </row>
    <row r="21" spans="2:48" ht="19.2" customHeight="1">
      <c r="B21" s="310"/>
      <c r="C21" s="239" t="s">
        <v>2191</v>
      </c>
      <c r="D21" s="141">
        <f>6+6</f>
        <v>12</v>
      </c>
      <c r="E21" s="354" t="s">
        <v>2185</v>
      </c>
      <c r="F21" s="354"/>
      <c r="G21" s="354"/>
      <c r="H21" s="354"/>
      <c r="I21" s="354"/>
      <c r="J21" s="354"/>
      <c r="K21" s="354"/>
      <c r="L21" s="286" t="s">
        <v>2185</v>
      </c>
      <c r="M21" s="286"/>
      <c r="N21" s="286"/>
      <c r="O21" s="286"/>
      <c r="P21" s="286"/>
      <c r="Q21" s="286"/>
      <c r="R21" s="286"/>
      <c r="S21" s="286"/>
      <c r="T21" s="317"/>
      <c r="U21" s="318"/>
      <c r="V21" s="318"/>
      <c r="W21" s="318"/>
      <c r="X21" s="348"/>
      <c r="Y21" s="286" t="s">
        <v>2185</v>
      </c>
      <c r="Z21" s="286"/>
      <c r="AA21" s="286"/>
      <c r="AB21" s="286"/>
      <c r="AC21" s="286"/>
      <c r="AD21" s="286"/>
      <c r="AE21" s="286"/>
      <c r="AF21" s="317"/>
      <c r="AG21" s="318"/>
      <c r="AH21" s="318"/>
      <c r="AI21" s="318"/>
      <c r="AJ21" s="318"/>
      <c r="AK21" s="319"/>
      <c r="AL21"/>
      <c r="AM21" s="362"/>
      <c r="AN21" s="362"/>
      <c r="AO21" s="362"/>
      <c r="AP21" s="362"/>
      <c r="AQ21" s="362"/>
      <c r="AR21" s="362"/>
      <c r="AS21" s="362"/>
      <c r="AT21" s="362"/>
      <c r="AU21" s="362"/>
      <c r="AV21" s="362"/>
    </row>
    <row r="22" spans="2:48" ht="17.7" customHeight="1">
      <c r="B22" s="310"/>
      <c r="C22" s="239"/>
      <c r="D22" s="136" t="s">
        <v>2188</v>
      </c>
      <c r="E22" s="268">
        <v>11</v>
      </c>
      <c r="F22" s="278"/>
      <c r="G22" s="278"/>
      <c r="H22" s="269"/>
      <c r="I22" s="268">
        <v>31</v>
      </c>
      <c r="J22" s="278"/>
      <c r="K22" s="269"/>
      <c r="L22" s="268">
        <v>13</v>
      </c>
      <c r="M22" s="278"/>
      <c r="N22" s="278"/>
      <c r="O22" s="269"/>
      <c r="P22" s="268">
        <v>30</v>
      </c>
      <c r="Q22" s="278"/>
      <c r="R22" s="278"/>
      <c r="S22" s="269"/>
      <c r="T22" s="317"/>
      <c r="U22" s="318"/>
      <c r="V22" s="318"/>
      <c r="W22" s="318"/>
      <c r="X22" s="348"/>
      <c r="Y22" s="268">
        <v>20</v>
      </c>
      <c r="Z22" s="278"/>
      <c r="AA22" s="278"/>
      <c r="AB22" s="269"/>
      <c r="AC22" s="268">
        <v>3</v>
      </c>
      <c r="AD22" s="278"/>
      <c r="AE22" s="269"/>
      <c r="AF22" s="317"/>
      <c r="AG22" s="318"/>
      <c r="AH22" s="318"/>
      <c r="AI22" s="318"/>
      <c r="AJ22" s="318"/>
      <c r="AK22" s="319"/>
      <c r="AL22"/>
      <c r="AM22" s="362"/>
      <c r="AN22" s="362"/>
      <c r="AO22" s="362"/>
      <c r="AP22" s="362"/>
      <c r="AQ22" s="362"/>
      <c r="AR22" s="362"/>
      <c r="AS22" s="362"/>
      <c r="AT22" s="362"/>
      <c r="AU22" s="362"/>
      <c r="AV22" s="362"/>
    </row>
    <row r="23" spans="2:48" ht="17.7" customHeight="1">
      <c r="B23" s="310"/>
      <c r="C23" s="139" t="s">
        <v>2192</v>
      </c>
      <c r="D23" s="140" t="s">
        <v>2190</v>
      </c>
      <c r="E23" s="270"/>
      <c r="F23" s="279"/>
      <c r="G23" s="279"/>
      <c r="H23" s="271"/>
      <c r="I23" s="270"/>
      <c r="J23" s="279"/>
      <c r="K23" s="271"/>
      <c r="L23" s="270"/>
      <c r="M23" s="279"/>
      <c r="N23" s="279"/>
      <c r="O23" s="271"/>
      <c r="P23" s="270"/>
      <c r="Q23" s="279"/>
      <c r="R23" s="279"/>
      <c r="S23" s="271"/>
      <c r="T23" s="320"/>
      <c r="U23" s="321"/>
      <c r="V23" s="321"/>
      <c r="W23" s="321"/>
      <c r="X23" s="353"/>
      <c r="Y23" s="270"/>
      <c r="Z23" s="279"/>
      <c r="AA23" s="279"/>
      <c r="AB23" s="271"/>
      <c r="AC23" s="270"/>
      <c r="AD23" s="279"/>
      <c r="AE23" s="271"/>
      <c r="AF23" s="320"/>
      <c r="AG23" s="321"/>
      <c r="AH23" s="321"/>
      <c r="AI23" s="321"/>
      <c r="AJ23" s="321"/>
      <c r="AK23" s="322"/>
      <c r="AL23"/>
      <c r="AM23" s="362"/>
      <c r="AN23" s="362"/>
      <c r="AO23" s="362"/>
      <c r="AP23" s="362"/>
      <c r="AQ23" s="362"/>
      <c r="AR23" s="362"/>
      <c r="AS23" s="362"/>
      <c r="AT23" s="362"/>
      <c r="AU23" s="362"/>
      <c r="AV23" s="362"/>
    </row>
    <row r="24" spans="2:48" ht="19.2" customHeight="1">
      <c r="B24" s="310"/>
      <c r="C24" s="239" t="s">
        <v>2193</v>
      </c>
      <c r="D24" s="141">
        <f>30+3+1+2+7</f>
        <v>43</v>
      </c>
      <c r="E24" s="282" t="s">
        <v>2204</v>
      </c>
      <c r="F24" s="282"/>
      <c r="G24" s="282"/>
      <c r="H24" s="282"/>
      <c r="I24" s="282"/>
      <c r="J24" s="282"/>
      <c r="K24" s="282"/>
      <c r="L24" s="286" t="s">
        <v>2185</v>
      </c>
      <c r="M24" s="286"/>
      <c r="N24" s="286"/>
      <c r="O24" s="286"/>
      <c r="P24" s="286"/>
      <c r="Q24" s="286"/>
      <c r="R24" s="286"/>
      <c r="S24" s="286"/>
      <c r="T24" s="282" t="s">
        <v>2205</v>
      </c>
      <c r="U24" s="282"/>
      <c r="V24" s="282"/>
      <c r="W24" s="328"/>
      <c r="X24" s="330"/>
      <c r="Y24" s="282" t="s">
        <v>2206</v>
      </c>
      <c r="Z24" s="282"/>
      <c r="AA24" s="282"/>
      <c r="AB24" s="282"/>
      <c r="AC24" s="282"/>
      <c r="AD24" s="282"/>
      <c r="AE24" s="282"/>
      <c r="AF24" s="328"/>
      <c r="AG24" s="329"/>
      <c r="AH24" s="329"/>
      <c r="AI24" s="330"/>
      <c r="AJ24" s="337" t="s">
        <v>2185</v>
      </c>
      <c r="AK24" s="338"/>
      <c r="AL24"/>
      <c r="AM24" s="362"/>
      <c r="AN24" s="362"/>
      <c r="AO24" s="362"/>
      <c r="AP24" s="362"/>
      <c r="AQ24" s="362"/>
      <c r="AR24" s="362"/>
      <c r="AS24" s="362"/>
      <c r="AT24" s="362"/>
      <c r="AU24" s="362"/>
      <c r="AV24" s="362"/>
    </row>
    <row r="25" spans="2:48" ht="19.2">
      <c r="B25" s="310"/>
      <c r="C25" s="239"/>
      <c r="D25" s="136" t="s">
        <v>2188</v>
      </c>
      <c r="E25" s="137">
        <v>4</v>
      </c>
      <c r="F25" s="137">
        <v>18</v>
      </c>
      <c r="G25" s="137">
        <v>27</v>
      </c>
      <c r="H25" s="137">
        <v>11</v>
      </c>
      <c r="I25" s="137">
        <v>40</v>
      </c>
      <c r="J25" s="137">
        <v>47</v>
      </c>
      <c r="K25" s="137">
        <v>33</v>
      </c>
      <c r="L25" s="268">
        <v>19</v>
      </c>
      <c r="M25" s="278"/>
      <c r="N25" s="278"/>
      <c r="O25" s="269"/>
      <c r="P25" s="268">
        <v>22</v>
      </c>
      <c r="Q25" s="278"/>
      <c r="R25" s="278"/>
      <c r="S25" s="269"/>
      <c r="T25" s="138">
        <v>37</v>
      </c>
      <c r="U25" s="138">
        <v>3</v>
      </c>
      <c r="V25" s="138">
        <v>31</v>
      </c>
      <c r="W25" s="331"/>
      <c r="X25" s="333"/>
      <c r="Y25" s="137">
        <v>35</v>
      </c>
      <c r="Z25" s="137">
        <v>9</v>
      </c>
      <c r="AA25" s="137">
        <v>25</v>
      </c>
      <c r="AB25" s="256"/>
      <c r="AC25" s="257"/>
      <c r="AD25" s="257"/>
      <c r="AE25" s="258"/>
      <c r="AF25" s="331"/>
      <c r="AG25" s="332"/>
      <c r="AH25" s="332"/>
      <c r="AI25" s="333"/>
      <c r="AJ25" s="339">
        <v>34</v>
      </c>
      <c r="AK25" s="341">
        <v>38</v>
      </c>
      <c r="AL25"/>
      <c r="AM25" s="362"/>
      <c r="AN25" s="362"/>
      <c r="AO25" s="362"/>
      <c r="AP25" s="362"/>
      <c r="AQ25" s="362"/>
      <c r="AR25" s="362"/>
      <c r="AS25" s="362"/>
      <c r="AT25" s="362"/>
      <c r="AU25" s="362"/>
      <c r="AV25" s="362"/>
    </row>
    <row r="26" spans="2:48" ht="19.8" thickBot="1">
      <c r="B26" s="311"/>
      <c r="C26" s="143" t="s">
        <v>2196</v>
      </c>
      <c r="D26" s="144" t="s">
        <v>2190</v>
      </c>
      <c r="E26" s="145">
        <v>29</v>
      </c>
      <c r="F26" s="145">
        <v>45</v>
      </c>
      <c r="G26" s="145">
        <v>43</v>
      </c>
      <c r="H26" s="145">
        <v>52</v>
      </c>
      <c r="I26" s="145">
        <v>39</v>
      </c>
      <c r="J26" s="145">
        <v>2</v>
      </c>
      <c r="K26" s="145">
        <v>28</v>
      </c>
      <c r="L26" s="301"/>
      <c r="M26" s="302"/>
      <c r="N26" s="302"/>
      <c r="O26" s="303"/>
      <c r="P26" s="301"/>
      <c r="Q26" s="302"/>
      <c r="R26" s="302"/>
      <c r="S26" s="303"/>
      <c r="T26" s="146">
        <v>38</v>
      </c>
      <c r="U26" s="146">
        <v>42</v>
      </c>
      <c r="V26" s="146">
        <v>8</v>
      </c>
      <c r="W26" s="334"/>
      <c r="X26" s="336"/>
      <c r="Y26" s="145">
        <v>30</v>
      </c>
      <c r="Z26" s="145">
        <v>50</v>
      </c>
      <c r="AA26" s="145">
        <v>32</v>
      </c>
      <c r="AB26" s="295"/>
      <c r="AC26" s="296"/>
      <c r="AD26" s="296"/>
      <c r="AE26" s="298"/>
      <c r="AF26" s="334"/>
      <c r="AG26" s="335"/>
      <c r="AH26" s="335"/>
      <c r="AI26" s="336"/>
      <c r="AJ26" s="340"/>
      <c r="AK26" s="342"/>
      <c r="AL26"/>
      <c r="AM26" s="362"/>
      <c r="AN26" s="362"/>
      <c r="AO26" s="362"/>
      <c r="AP26" s="362"/>
      <c r="AQ26" s="362"/>
      <c r="AR26" s="362"/>
      <c r="AS26" s="362"/>
      <c r="AT26" s="362"/>
      <c r="AU26" s="362"/>
      <c r="AV26" s="362"/>
    </row>
    <row r="27" spans="2:48" ht="19.2">
      <c r="B27" s="309" t="s">
        <v>2207</v>
      </c>
      <c r="C27" s="312" t="s">
        <v>2184</v>
      </c>
      <c r="D27" s="147">
        <f>44+2+3+1+1+3</f>
        <v>54</v>
      </c>
      <c r="E27" s="313" t="s">
        <v>60</v>
      </c>
      <c r="F27" s="313"/>
      <c r="G27" s="313"/>
      <c r="H27" s="313"/>
      <c r="I27" s="313"/>
      <c r="J27" s="313"/>
      <c r="K27" s="313"/>
      <c r="L27" s="313" t="s">
        <v>2208</v>
      </c>
      <c r="M27" s="313"/>
      <c r="N27" s="313"/>
      <c r="O27" s="313"/>
      <c r="P27" s="313"/>
      <c r="Q27" s="313"/>
      <c r="R27" s="313"/>
      <c r="S27" s="313"/>
      <c r="T27" s="290"/>
      <c r="U27" s="291"/>
      <c r="V27" s="291"/>
      <c r="W27" s="291"/>
      <c r="X27" s="292"/>
      <c r="Y27" s="313" t="s">
        <v>2209</v>
      </c>
      <c r="Z27" s="313"/>
      <c r="AA27" s="313"/>
      <c r="AB27" s="313"/>
      <c r="AC27" s="313"/>
      <c r="AD27" s="313"/>
      <c r="AE27" s="313"/>
      <c r="AF27" s="304" t="s">
        <v>2210</v>
      </c>
      <c r="AG27" s="305"/>
      <c r="AH27" s="305"/>
      <c r="AI27" s="306"/>
      <c r="AJ27" s="290"/>
      <c r="AK27" s="307"/>
      <c r="AL27"/>
      <c r="AM27" s="362"/>
      <c r="AN27" s="362"/>
      <c r="AO27" s="362"/>
      <c r="AP27" s="362"/>
      <c r="AQ27" s="362"/>
      <c r="AR27" s="362"/>
      <c r="AS27" s="362"/>
      <c r="AT27" s="362"/>
      <c r="AU27" s="362"/>
      <c r="AV27" s="362"/>
    </row>
    <row r="28" spans="2:48" ht="19.2" customHeight="1">
      <c r="B28" s="310"/>
      <c r="C28" s="239"/>
      <c r="D28" s="136" t="s">
        <v>2188</v>
      </c>
      <c r="E28" s="137">
        <v>8</v>
      </c>
      <c r="F28" s="137">
        <v>20</v>
      </c>
      <c r="G28" s="137">
        <v>53</v>
      </c>
      <c r="H28" s="137">
        <v>54</v>
      </c>
      <c r="I28" s="137">
        <v>25</v>
      </c>
      <c r="J28" s="137">
        <v>41</v>
      </c>
      <c r="K28" s="137">
        <v>48</v>
      </c>
      <c r="L28" s="137">
        <v>46</v>
      </c>
      <c r="M28" s="137">
        <v>15</v>
      </c>
      <c r="N28" s="137">
        <v>42</v>
      </c>
      <c r="O28" s="137">
        <v>7</v>
      </c>
      <c r="P28" s="137">
        <v>44</v>
      </c>
      <c r="Q28" s="137">
        <v>30</v>
      </c>
      <c r="R28" s="137">
        <v>34</v>
      </c>
      <c r="S28" s="137">
        <v>6</v>
      </c>
      <c r="T28" s="259"/>
      <c r="U28" s="260"/>
      <c r="V28" s="260"/>
      <c r="W28" s="260"/>
      <c r="X28" s="261"/>
      <c r="Y28" s="256"/>
      <c r="Z28" s="258"/>
      <c r="AA28" s="137">
        <v>39</v>
      </c>
      <c r="AB28" s="137">
        <v>9</v>
      </c>
      <c r="AC28" s="137">
        <v>45</v>
      </c>
      <c r="AD28" s="256"/>
      <c r="AE28" s="258"/>
      <c r="AF28" s="137">
        <v>50</v>
      </c>
      <c r="AG28" s="137">
        <v>40</v>
      </c>
      <c r="AH28" s="137">
        <v>38</v>
      </c>
      <c r="AI28" s="137">
        <v>32</v>
      </c>
      <c r="AJ28" s="259"/>
      <c r="AK28" s="294"/>
      <c r="AL28"/>
      <c r="AM28" s="362"/>
      <c r="AN28" s="362"/>
      <c r="AO28" s="362"/>
      <c r="AP28" s="362"/>
      <c r="AQ28" s="362"/>
      <c r="AR28" s="362"/>
      <c r="AS28" s="362"/>
      <c r="AT28" s="362"/>
      <c r="AU28" s="362"/>
      <c r="AV28" s="362"/>
    </row>
    <row r="29" spans="2:48" ht="19.2">
      <c r="B29" s="310"/>
      <c r="C29" s="139" t="s">
        <v>2189</v>
      </c>
      <c r="D29" s="140" t="s">
        <v>2190</v>
      </c>
      <c r="E29" s="137">
        <v>49</v>
      </c>
      <c r="F29" s="137">
        <v>21</v>
      </c>
      <c r="G29" s="137">
        <v>5</v>
      </c>
      <c r="H29" s="137">
        <v>22</v>
      </c>
      <c r="I29" s="137">
        <v>51</v>
      </c>
      <c r="J29" s="137">
        <v>23</v>
      </c>
      <c r="K29" s="137">
        <v>24</v>
      </c>
      <c r="L29" s="137">
        <v>1</v>
      </c>
      <c r="M29" s="137">
        <v>37</v>
      </c>
      <c r="N29" s="137">
        <v>4</v>
      </c>
      <c r="O29" s="137">
        <v>28</v>
      </c>
      <c r="P29" s="137">
        <v>18</v>
      </c>
      <c r="Q29" s="137">
        <v>3</v>
      </c>
      <c r="R29" s="137">
        <v>29</v>
      </c>
      <c r="S29" s="137">
        <v>47</v>
      </c>
      <c r="T29" s="259"/>
      <c r="U29" s="260"/>
      <c r="V29" s="260"/>
      <c r="W29" s="260"/>
      <c r="X29" s="261"/>
      <c r="Y29" s="262"/>
      <c r="Z29" s="264"/>
      <c r="AA29" s="137">
        <v>10</v>
      </c>
      <c r="AB29" s="137">
        <v>35</v>
      </c>
      <c r="AC29" s="137">
        <v>36</v>
      </c>
      <c r="AD29" s="262"/>
      <c r="AE29" s="264"/>
      <c r="AF29" s="137">
        <v>14</v>
      </c>
      <c r="AG29" s="137">
        <v>13</v>
      </c>
      <c r="AH29" s="137">
        <v>17</v>
      </c>
      <c r="AI29" s="137">
        <v>52</v>
      </c>
      <c r="AJ29" s="262"/>
      <c r="AK29" s="308"/>
      <c r="AL29"/>
      <c r="AM29" s="362"/>
      <c r="AN29" s="362"/>
      <c r="AO29" s="362"/>
      <c r="AP29" s="362"/>
      <c r="AQ29" s="362"/>
      <c r="AR29" s="362"/>
      <c r="AS29" s="362"/>
      <c r="AT29" s="362"/>
      <c r="AU29" s="362"/>
      <c r="AV29" s="362"/>
    </row>
    <row r="30" spans="2:48" ht="19.2">
      <c r="B30" s="310"/>
      <c r="C30" s="239" t="s">
        <v>2191</v>
      </c>
      <c r="D30" s="141">
        <f>6+3</f>
        <v>9</v>
      </c>
      <c r="E30" s="285" t="s">
        <v>2185</v>
      </c>
      <c r="F30" s="285"/>
      <c r="G30" s="285"/>
      <c r="H30" s="285"/>
      <c r="I30" s="285"/>
      <c r="J30" s="285"/>
      <c r="K30" s="285"/>
      <c r="L30" s="286" t="s">
        <v>2185</v>
      </c>
      <c r="M30" s="286"/>
      <c r="N30" s="286"/>
      <c r="O30" s="286"/>
      <c r="P30" s="286"/>
      <c r="Q30" s="286"/>
      <c r="R30" s="286"/>
      <c r="S30" s="286"/>
      <c r="T30" s="259"/>
      <c r="U30" s="260"/>
      <c r="V30" s="260"/>
      <c r="W30" s="260"/>
      <c r="X30" s="261"/>
      <c r="Y30" s="286" t="s">
        <v>2185</v>
      </c>
      <c r="Z30" s="286"/>
      <c r="AA30" s="286"/>
      <c r="AB30" s="286"/>
      <c r="AC30" s="286"/>
      <c r="AD30" s="286"/>
      <c r="AE30" s="286"/>
      <c r="AF30" s="256"/>
      <c r="AG30" s="257"/>
      <c r="AH30" s="257"/>
      <c r="AI30" s="257"/>
      <c r="AJ30" s="257"/>
      <c r="AK30" s="293"/>
      <c r="AL30"/>
      <c r="AM30" s="150"/>
      <c r="AN30" s="150"/>
      <c r="AO30" s="150"/>
      <c r="AP30" s="150"/>
      <c r="AQ30" s="150"/>
      <c r="AR30" s="150"/>
      <c r="AS30" s="150"/>
      <c r="AT30" s="150"/>
      <c r="AU30" s="150"/>
      <c r="AV30" s="150"/>
    </row>
    <row r="31" spans="2:48" ht="19.2" customHeight="1">
      <c r="B31" s="310"/>
      <c r="C31" s="239"/>
      <c r="D31" s="136" t="s">
        <v>2188</v>
      </c>
      <c r="E31" s="268">
        <v>2</v>
      </c>
      <c r="F31" s="278"/>
      <c r="G31" s="278"/>
      <c r="H31" s="269"/>
      <c r="I31" s="268">
        <v>33</v>
      </c>
      <c r="J31" s="278"/>
      <c r="K31" s="269"/>
      <c r="L31" s="268">
        <v>17</v>
      </c>
      <c r="M31" s="278"/>
      <c r="N31" s="278"/>
      <c r="O31" s="269"/>
      <c r="P31" s="268">
        <v>41</v>
      </c>
      <c r="Q31" s="278"/>
      <c r="R31" s="278"/>
      <c r="S31" s="269"/>
      <c r="T31" s="259"/>
      <c r="U31" s="260"/>
      <c r="V31" s="260"/>
      <c r="W31" s="260"/>
      <c r="X31" s="261"/>
      <c r="Y31" s="268">
        <v>21</v>
      </c>
      <c r="Z31" s="278"/>
      <c r="AA31" s="278"/>
      <c r="AB31" s="269"/>
      <c r="AC31" s="268">
        <v>8</v>
      </c>
      <c r="AD31" s="278"/>
      <c r="AE31" s="269"/>
      <c r="AF31" s="259"/>
      <c r="AG31" s="260"/>
      <c r="AH31" s="260"/>
      <c r="AI31" s="260"/>
      <c r="AJ31" s="260"/>
      <c r="AK31" s="294"/>
      <c r="AL31"/>
      <c r="AM31"/>
      <c r="AN31"/>
      <c r="AO31"/>
      <c r="AP31"/>
      <c r="AQ31"/>
      <c r="AR31"/>
      <c r="AS31"/>
      <c r="AT31"/>
      <c r="AU31"/>
      <c r="AV31"/>
    </row>
    <row r="32" spans="2:48" ht="19.2" customHeight="1">
      <c r="B32" s="310"/>
      <c r="C32" s="139" t="s">
        <v>2192</v>
      </c>
      <c r="D32" s="140" t="s">
        <v>2190</v>
      </c>
      <c r="E32" s="270"/>
      <c r="F32" s="279"/>
      <c r="G32" s="279"/>
      <c r="H32" s="271"/>
      <c r="I32" s="270"/>
      <c r="J32" s="279"/>
      <c r="K32" s="271"/>
      <c r="L32" s="270"/>
      <c r="M32" s="279"/>
      <c r="N32" s="279"/>
      <c r="O32" s="271"/>
      <c r="P32" s="270"/>
      <c r="Q32" s="279"/>
      <c r="R32" s="279"/>
      <c r="S32" s="271"/>
      <c r="T32" s="262"/>
      <c r="U32" s="263"/>
      <c r="V32" s="263"/>
      <c r="W32" s="263"/>
      <c r="X32" s="264"/>
      <c r="Y32" s="270"/>
      <c r="Z32" s="279"/>
      <c r="AA32" s="279"/>
      <c r="AB32" s="271"/>
      <c r="AC32" s="270"/>
      <c r="AD32" s="279"/>
      <c r="AE32" s="271"/>
      <c r="AF32" s="262"/>
      <c r="AG32" s="263"/>
      <c r="AH32" s="263"/>
      <c r="AI32" s="263"/>
      <c r="AJ32" s="263"/>
      <c r="AK32" s="308"/>
      <c r="AL32"/>
      <c r="AM32"/>
      <c r="AN32"/>
      <c r="AO32"/>
      <c r="AP32"/>
      <c r="AQ32"/>
      <c r="AR32"/>
      <c r="AS32"/>
      <c r="AT32"/>
      <c r="AU32"/>
      <c r="AV32"/>
    </row>
    <row r="33" spans="2:37" ht="19.2">
      <c r="B33" s="310"/>
      <c r="C33" s="239" t="s">
        <v>2193</v>
      </c>
      <c r="D33" s="141">
        <f>34+3+1+1+3</f>
        <v>42</v>
      </c>
      <c r="E33" s="281" t="s">
        <v>2211</v>
      </c>
      <c r="F33" s="281"/>
      <c r="G33" s="281"/>
      <c r="H33" s="281"/>
      <c r="I33" s="281"/>
      <c r="J33" s="281"/>
      <c r="K33" s="281"/>
      <c r="L33" s="281" t="s">
        <v>2212</v>
      </c>
      <c r="M33" s="281"/>
      <c r="N33" s="281"/>
      <c r="O33" s="281"/>
      <c r="P33" s="281"/>
      <c r="Q33" s="281"/>
      <c r="R33" s="281"/>
      <c r="S33" s="281"/>
      <c r="T33" s="256"/>
      <c r="U33" s="257"/>
      <c r="V33" s="258"/>
      <c r="W33" s="254" t="s">
        <v>2185</v>
      </c>
      <c r="X33" s="255"/>
      <c r="Y33" s="285" t="s">
        <v>2185</v>
      </c>
      <c r="Z33" s="285"/>
      <c r="AA33" s="285"/>
      <c r="AB33" s="285"/>
      <c r="AC33" s="285"/>
      <c r="AD33" s="285"/>
      <c r="AE33" s="285"/>
      <c r="AF33" s="287" t="s">
        <v>2213</v>
      </c>
      <c r="AG33" s="288"/>
      <c r="AH33" s="289"/>
      <c r="AI33" s="256"/>
      <c r="AJ33" s="257"/>
      <c r="AK33" s="293"/>
    </row>
    <row r="34" spans="2:37" ht="19.2">
      <c r="B34" s="310"/>
      <c r="C34" s="239"/>
      <c r="D34" s="136" t="s">
        <v>2188</v>
      </c>
      <c r="E34" s="137">
        <v>10</v>
      </c>
      <c r="F34" s="137">
        <v>15</v>
      </c>
      <c r="G34" s="137">
        <v>33</v>
      </c>
      <c r="H34" s="137">
        <v>29</v>
      </c>
      <c r="I34" s="137">
        <v>13</v>
      </c>
      <c r="J34" s="137">
        <v>26</v>
      </c>
      <c r="K34" s="137">
        <v>19</v>
      </c>
      <c r="L34" s="137">
        <v>32</v>
      </c>
      <c r="M34" s="137">
        <v>27</v>
      </c>
      <c r="N34" s="137">
        <v>34</v>
      </c>
      <c r="O34" s="137">
        <v>35</v>
      </c>
      <c r="P34" s="137">
        <v>37</v>
      </c>
      <c r="Q34" s="256"/>
      <c r="R34" s="257"/>
      <c r="S34" s="258"/>
      <c r="T34" s="259"/>
      <c r="U34" s="260"/>
      <c r="V34" s="261"/>
      <c r="W34" s="299">
        <v>1</v>
      </c>
      <c r="X34" s="299">
        <v>6</v>
      </c>
      <c r="Y34" s="268">
        <v>25</v>
      </c>
      <c r="Z34" s="278"/>
      <c r="AA34" s="278"/>
      <c r="AB34" s="269"/>
      <c r="AC34" s="268">
        <v>39</v>
      </c>
      <c r="AD34" s="278"/>
      <c r="AE34" s="269"/>
      <c r="AF34" s="137">
        <v>14</v>
      </c>
      <c r="AG34" s="137">
        <v>7</v>
      </c>
      <c r="AH34" s="137">
        <v>36</v>
      </c>
      <c r="AI34" s="259"/>
      <c r="AJ34" s="260"/>
      <c r="AK34" s="294"/>
    </row>
    <row r="35" spans="2:37" ht="19.8" thickBot="1">
      <c r="B35" s="311"/>
      <c r="C35" s="143" t="s">
        <v>2196</v>
      </c>
      <c r="D35" s="144" t="s">
        <v>2190</v>
      </c>
      <c r="E35" s="145">
        <v>12</v>
      </c>
      <c r="F35" s="145">
        <v>45</v>
      </c>
      <c r="G35" s="145">
        <v>46</v>
      </c>
      <c r="H35" s="145">
        <v>51</v>
      </c>
      <c r="I35" s="145">
        <v>40</v>
      </c>
      <c r="J35" s="145">
        <v>49</v>
      </c>
      <c r="K35" s="145">
        <v>23</v>
      </c>
      <c r="L35" s="145">
        <v>47</v>
      </c>
      <c r="M35" s="145">
        <v>48</v>
      </c>
      <c r="N35" s="145">
        <v>43</v>
      </c>
      <c r="O35" s="145">
        <v>39</v>
      </c>
      <c r="P35" s="145">
        <v>41</v>
      </c>
      <c r="Q35" s="295"/>
      <c r="R35" s="296"/>
      <c r="S35" s="298"/>
      <c r="T35" s="295"/>
      <c r="U35" s="296"/>
      <c r="V35" s="298"/>
      <c r="W35" s="300"/>
      <c r="X35" s="300"/>
      <c r="Y35" s="301"/>
      <c r="Z35" s="302"/>
      <c r="AA35" s="302"/>
      <c r="AB35" s="303"/>
      <c r="AC35" s="301"/>
      <c r="AD35" s="302"/>
      <c r="AE35" s="303"/>
      <c r="AF35" s="145">
        <v>52</v>
      </c>
      <c r="AG35" s="145">
        <v>42</v>
      </c>
      <c r="AH35" s="145">
        <v>21</v>
      </c>
      <c r="AI35" s="295"/>
      <c r="AJ35" s="296"/>
      <c r="AK35" s="297"/>
    </row>
    <row r="36" spans="2:37" ht="19.2">
      <c r="B36" s="151"/>
      <c r="C36" s="283" t="s">
        <v>2184</v>
      </c>
      <c r="D36" s="152">
        <f>6+2</f>
        <v>8</v>
      </c>
      <c r="E36" s="284" t="s">
        <v>2185</v>
      </c>
      <c r="F36" s="284"/>
      <c r="G36" s="284"/>
      <c r="H36" s="284"/>
      <c r="I36" s="284"/>
      <c r="J36" s="284"/>
      <c r="K36" s="284"/>
      <c r="L36" s="284" t="s">
        <v>2185</v>
      </c>
      <c r="M36" s="284"/>
      <c r="N36" s="284"/>
      <c r="O36" s="284"/>
      <c r="P36" s="284"/>
      <c r="Q36" s="284"/>
      <c r="R36" s="284"/>
      <c r="S36" s="284"/>
      <c r="T36" s="259"/>
      <c r="U36" s="260"/>
      <c r="V36" s="260"/>
      <c r="W36" s="260"/>
      <c r="X36" s="261"/>
      <c r="Y36" s="284" t="s">
        <v>2185</v>
      </c>
      <c r="Z36" s="284"/>
      <c r="AA36" s="284"/>
      <c r="AB36" s="284"/>
      <c r="AC36" s="284"/>
      <c r="AD36" s="284"/>
      <c r="AE36" s="284"/>
      <c r="AF36" s="290"/>
      <c r="AG36" s="291"/>
      <c r="AH36" s="291"/>
      <c r="AI36" s="291"/>
      <c r="AJ36" s="291"/>
      <c r="AK36" s="292"/>
    </row>
    <row r="37" spans="2:37" ht="19.2" customHeight="1">
      <c r="B37" s="275" t="s">
        <v>2214</v>
      </c>
      <c r="C37" s="280"/>
      <c r="D37" s="153" t="s">
        <v>2188</v>
      </c>
      <c r="E37" s="268">
        <v>16</v>
      </c>
      <c r="F37" s="278"/>
      <c r="G37" s="278"/>
      <c r="H37" s="269"/>
      <c r="I37" s="268">
        <v>50</v>
      </c>
      <c r="J37" s="278"/>
      <c r="K37" s="269"/>
      <c r="L37" s="268">
        <v>46</v>
      </c>
      <c r="M37" s="278"/>
      <c r="N37" s="278"/>
      <c r="O37" s="269"/>
      <c r="P37" s="268">
        <v>47</v>
      </c>
      <c r="Q37" s="278"/>
      <c r="R37" s="278"/>
      <c r="S37" s="269"/>
      <c r="T37" s="259"/>
      <c r="U37" s="260"/>
      <c r="V37" s="260"/>
      <c r="W37" s="260"/>
      <c r="X37" s="261"/>
      <c r="Y37" s="268">
        <v>36</v>
      </c>
      <c r="Z37" s="278"/>
      <c r="AA37" s="278"/>
      <c r="AB37" s="269"/>
      <c r="AC37" s="268">
        <v>35</v>
      </c>
      <c r="AD37" s="278"/>
      <c r="AE37" s="269"/>
      <c r="AF37" s="259"/>
      <c r="AG37" s="260"/>
      <c r="AH37" s="260"/>
      <c r="AI37" s="260"/>
      <c r="AJ37" s="260"/>
      <c r="AK37" s="261"/>
    </row>
    <row r="38" spans="2:37" ht="19.2" customHeight="1">
      <c r="B38" s="276"/>
      <c r="C38" s="154" t="s">
        <v>2189</v>
      </c>
      <c r="D38" s="155" t="s">
        <v>2190</v>
      </c>
      <c r="E38" s="270"/>
      <c r="F38" s="279"/>
      <c r="G38" s="279"/>
      <c r="H38" s="271"/>
      <c r="I38" s="270"/>
      <c r="J38" s="279"/>
      <c r="K38" s="271"/>
      <c r="L38" s="270"/>
      <c r="M38" s="279"/>
      <c r="N38" s="279"/>
      <c r="O38" s="271"/>
      <c r="P38" s="270"/>
      <c r="Q38" s="279"/>
      <c r="R38" s="279"/>
      <c r="S38" s="271"/>
      <c r="T38" s="259"/>
      <c r="U38" s="260"/>
      <c r="V38" s="260"/>
      <c r="W38" s="260"/>
      <c r="X38" s="261"/>
      <c r="Y38" s="270"/>
      <c r="Z38" s="279"/>
      <c r="AA38" s="279"/>
      <c r="AB38" s="271"/>
      <c r="AC38" s="270"/>
      <c r="AD38" s="279"/>
      <c r="AE38" s="271"/>
      <c r="AF38" s="259"/>
      <c r="AG38" s="260"/>
      <c r="AH38" s="260"/>
      <c r="AI38" s="260"/>
      <c r="AJ38" s="260"/>
      <c r="AK38" s="261"/>
    </row>
    <row r="39" spans="2:37" ht="19.2">
      <c r="B39" s="276"/>
      <c r="C39" s="280" t="s">
        <v>2191</v>
      </c>
      <c r="D39" s="156">
        <f>44+2+2+2+2</f>
        <v>52</v>
      </c>
      <c r="E39" s="281" t="s">
        <v>71</v>
      </c>
      <c r="F39" s="281"/>
      <c r="G39" s="281"/>
      <c r="H39" s="281"/>
      <c r="I39" s="281"/>
      <c r="J39" s="281"/>
      <c r="K39" s="281"/>
      <c r="L39" s="282" t="s">
        <v>2215</v>
      </c>
      <c r="M39" s="282"/>
      <c r="N39" s="282"/>
      <c r="O39" s="282"/>
      <c r="P39" s="282"/>
      <c r="Q39" s="282"/>
      <c r="R39" s="282"/>
      <c r="S39" s="282"/>
      <c r="T39" s="259"/>
      <c r="U39" s="260"/>
      <c r="V39" s="260"/>
      <c r="W39" s="260"/>
      <c r="X39" s="261"/>
      <c r="Y39" s="282" t="s">
        <v>2216</v>
      </c>
      <c r="Z39" s="282"/>
      <c r="AA39" s="282"/>
      <c r="AB39" s="282"/>
      <c r="AC39" s="282"/>
      <c r="AD39" s="282"/>
      <c r="AE39" s="282"/>
      <c r="AF39" s="259"/>
      <c r="AG39" s="260"/>
      <c r="AH39" s="260"/>
      <c r="AI39" s="260"/>
      <c r="AJ39" s="260"/>
      <c r="AK39" s="261"/>
    </row>
    <row r="40" spans="2:37" ht="19.2">
      <c r="B40" s="276"/>
      <c r="C40" s="280"/>
      <c r="D40" s="153" t="s">
        <v>2188</v>
      </c>
      <c r="E40" s="137">
        <v>28</v>
      </c>
      <c r="F40" s="137">
        <v>17</v>
      </c>
      <c r="G40" s="137">
        <v>18</v>
      </c>
      <c r="H40" s="137">
        <v>8</v>
      </c>
      <c r="I40" s="137">
        <v>24</v>
      </c>
      <c r="J40" s="137">
        <v>27</v>
      </c>
      <c r="K40" s="137">
        <v>12</v>
      </c>
      <c r="L40" s="137">
        <v>19</v>
      </c>
      <c r="M40" s="137">
        <v>4</v>
      </c>
      <c r="N40" s="137">
        <v>10</v>
      </c>
      <c r="O40" s="137">
        <v>5</v>
      </c>
      <c r="P40" s="137">
        <v>20</v>
      </c>
      <c r="Q40" s="137">
        <v>21</v>
      </c>
      <c r="R40" s="137">
        <v>13</v>
      </c>
      <c r="S40" s="137">
        <v>22</v>
      </c>
      <c r="T40" s="259"/>
      <c r="U40" s="260"/>
      <c r="V40" s="260"/>
      <c r="W40" s="260"/>
      <c r="X40" s="261"/>
      <c r="Y40" s="137">
        <v>1</v>
      </c>
      <c r="Z40" s="137">
        <v>29</v>
      </c>
      <c r="AA40" s="137">
        <v>2</v>
      </c>
      <c r="AB40" s="137">
        <v>35</v>
      </c>
      <c r="AC40" s="137">
        <v>36</v>
      </c>
      <c r="AD40" s="137">
        <v>3</v>
      </c>
      <c r="AE40" s="137">
        <v>47</v>
      </c>
      <c r="AF40" s="259"/>
      <c r="AG40" s="260"/>
      <c r="AH40" s="260"/>
      <c r="AI40" s="260"/>
      <c r="AJ40" s="260"/>
      <c r="AK40" s="261"/>
    </row>
    <row r="41" spans="2:37" ht="19.2">
      <c r="B41" s="276"/>
      <c r="C41" s="154" t="s">
        <v>2192</v>
      </c>
      <c r="D41" s="155" t="s">
        <v>2190</v>
      </c>
      <c r="E41" s="137">
        <v>44</v>
      </c>
      <c r="F41" s="137">
        <v>42</v>
      </c>
      <c r="G41" s="137">
        <v>43</v>
      </c>
      <c r="H41" s="137">
        <v>23</v>
      </c>
      <c r="I41" s="137">
        <v>16</v>
      </c>
      <c r="J41" s="137">
        <v>48</v>
      </c>
      <c r="K41" s="137">
        <v>46</v>
      </c>
      <c r="L41" s="137">
        <v>26</v>
      </c>
      <c r="M41" s="137">
        <v>15</v>
      </c>
      <c r="N41" s="137">
        <v>7</v>
      </c>
      <c r="O41" s="137">
        <v>37</v>
      </c>
      <c r="P41" s="137">
        <v>38</v>
      </c>
      <c r="Q41" s="137">
        <v>49</v>
      </c>
      <c r="R41" s="137">
        <v>6</v>
      </c>
      <c r="S41" s="137">
        <v>40</v>
      </c>
      <c r="T41" s="259"/>
      <c r="U41" s="260"/>
      <c r="V41" s="260"/>
      <c r="W41" s="260"/>
      <c r="X41" s="261"/>
      <c r="Y41" s="137">
        <v>34</v>
      </c>
      <c r="Z41" s="137">
        <v>33</v>
      </c>
      <c r="AA41" s="137">
        <v>30</v>
      </c>
      <c r="AB41" s="137">
        <v>51</v>
      </c>
      <c r="AC41" s="137">
        <v>9</v>
      </c>
      <c r="AD41" s="137">
        <v>41</v>
      </c>
      <c r="AE41" s="137">
        <v>50</v>
      </c>
      <c r="AF41" s="259"/>
      <c r="AG41" s="260"/>
      <c r="AH41" s="260"/>
      <c r="AI41" s="260"/>
      <c r="AJ41" s="260"/>
      <c r="AK41" s="261"/>
    </row>
    <row r="42" spans="2:37" ht="19.2">
      <c r="B42" s="276"/>
      <c r="C42" s="280" t="s">
        <v>2193</v>
      </c>
      <c r="D42" s="157">
        <f>6+2</f>
        <v>8</v>
      </c>
      <c r="E42" s="285" t="s">
        <v>2185</v>
      </c>
      <c r="F42" s="285"/>
      <c r="G42" s="285"/>
      <c r="H42" s="285"/>
      <c r="I42" s="285"/>
      <c r="J42" s="285"/>
      <c r="K42" s="285"/>
      <c r="L42" s="286" t="s">
        <v>2185</v>
      </c>
      <c r="M42" s="286"/>
      <c r="N42" s="286"/>
      <c r="O42" s="286"/>
      <c r="P42" s="286"/>
      <c r="Q42" s="286"/>
      <c r="R42" s="286"/>
      <c r="S42" s="286"/>
      <c r="T42" s="259"/>
      <c r="U42" s="260"/>
      <c r="V42" s="260"/>
      <c r="W42" s="260"/>
      <c r="X42" s="261"/>
      <c r="Y42" s="285" t="s">
        <v>2185</v>
      </c>
      <c r="Z42" s="285"/>
      <c r="AA42" s="285"/>
      <c r="AB42" s="285"/>
      <c r="AC42" s="285"/>
      <c r="AD42" s="285"/>
      <c r="AE42" s="285"/>
      <c r="AF42" s="259"/>
      <c r="AG42" s="260"/>
      <c r="AH42" s="260"/>
      <c r="AI42" s="260"/>
      <c r="AJ42" s="260"/>
      <c r="AK42" s="261"/>
    </row>
    <row r="43" spans="2:37" ht="19.2" customHeight="1">
      <c r="B43" s="276"/>
      <c r="C43" s="280"/>
      <c r="D43" s="153" t="s">
        <v>2188</v>
      </c>
      <c r="E43" s="268">
        <v>48</v>
      </c>
      <c r="F43" s="278"/>
      <c r="G43" s="278"/>
      <c r="H43" s="269"/>
      <c r="I43" s="268">
        <v>45</v>
      </c>
      <c r="J43" s="278"/>
      <c r="K43" s="269"/>
      <c r="L43" s="268">
        <v>42</v>
      </c>
      <c r="M43" s="278"/>
      <c r="N43" s="278"/>
      <c r="O43" s="269"/>
      <c r="P43" s="268">
        <v>5</v>
      </c>
      <c r="Q43" s="278"/>
      <c r="R43" s="278"/>
      <c r="S43" s="269"/>
      <c r="T43" s="259"/>
      <c r="U43" s="260"/>
      <c r="V43" s="260"/>
      <c r="W43" s="260"/>
      <c r="X43" s="261"/>
      <c r="Y43" s="268">
        <v>40</v>
      </c>
      <c r="Z43" s="278"/>
      <c r="AA43" s="278"/>
      <c r="AB43" s="269"/>
      <c r="AC43" s="268">
        <v>44</v>
      </c>
      <c r="AD43" s="278"/>
      <c r="AE43" s="269"/>
      <c r="AF43" s="259"/>
      <c r="AG43" s="260"/>
      <c r="AH43" s="260"/>
      <c r="AI43" s="260"/>
      <c r="AJ43" s="260"/>
      <c r="AK43" s="261"/>
    </row>
    <row r="44" spans="2:37" ht="19.2" customHeight="1">
      <c r="B44" s="276"/>
      <c r="C44" s="154" t="s">
        <v>2196</v>
      </c>
      <c r="D44" s="155" t="s">
        <v>2190</v>
      </c>
      <c r="E44" s="270"/>
      <c r="F44" s="279"/>
      <c r="G44" s="279"/>
      <c r="H44" s="271"/>
      <c r="I44" s="270"/>
      <c r="J44" s="279"/>
      <c r="K44" s="271"/>
      <c r="L44" s="270"/>
      <c r="M44" s="279"/>
      <c r="N44" s="279"/>
      <c r="O44" s="271"/>
      <c r="P44" s="270"/>
      <c r="Q44" s="279"/>
      <c r="R44" s="279"/>
      <c r="S44" s="271"/>
      <c r="T44" s="262"/>
      <c r="U44" s="263"/>
      <c r="V44" s="263"/>
      <c r="W44" s="263"/>
      <c r="X44" s="264"/>
      <c r="Y44" s="270"/>
      <c r="Z44" s="279"/>
      <c r="AA44" s="279"/>
      <c r="AB44" s="271"/>
      <c r="AC44" s="270"/>
      <c r="AD44" s="279"/>
      <c r="AE44" s="271"/>
      <c r="AF44" s="262"/>
      <c r="AG44" s="263"/>
      <c r="AH44" s="263"/>
      <c r="AI44" s="263"/>
      <c r="AJ44" s="263"/>
      <c r="AK44" s="264"/>
    </row>
    <row r="45" spans="2:37" ht="19.2" customHeight="1">
      <c r="B45" s="276"/>
      <c r="C45" s="280" t="s">
        <v>2217</v>
      </c>
      <c r="D45" s="157">
        <f>38+1+2+1+2</f>
        <v>44</v>
      </c>
      <c r="E45" s="281" t="s">
        <v>2218</v>
      </c>
      <c r="F45" s="281"/>
      <c r="G45" s="281"/>
      <c r="H45" s="281"/>
      <c r="I45" s="281"/>
      <c r="J45" s="281"/>
      <c r="K45" s="281"/>
      <c r="L45" s="287" t="s">
        <v>2219</v>
      </c>
      <c r="M45" s="288"/>
      <c r="N45" s="288"/>
      <c r="O45" s="288"/>
      <c r="P45" s="288"/>
      <c r="Q45" s="288"/>
      <c r="R45" s="288"/>
      <c r="S45" s="289"/>
      <c r="T45" s="256"/>
      <c r="U45" s="257"/>
      <c r="V45" s="257"/>
      <c r="W45" s="257"/>
      <c r="X45" s="158" t="s">
        <v>2185</v>
      </c>
      <c r="Y45" s="281" t="s">
        <v>2220</v>
      </c>
      <c r="Z45" s="281"/>
      <c r="AA45" s="281"/>
      <c r="AB45" s="281"/>
      <c r="AC45" s="281"/>
      <c r="AD45" s="281"/>
      <c r="AE45" s="281"/>
      <c r="AF45" s="272"/>
      <c r="AG45" s="254" t="s">
        <v>2185</v>
      </c>
      <c r="AH45" s="255"/>
      <c r="AI45" s="256"/>
      <c r="AJ45" s="257"/>
      <c r="AK45" s="258"/>
    </row>
    <row r="46" spans="2:37" ht="19.2">
      <c r="B46" s="276"/>
      <c r="C46" s="280"/>
      <c r="D46" s="153" t="s">
        <v>2188</v>
      </c>
      <c r="E46" s="137">
        <v>50</v>
      </c>
      <c r="F46" s="137">
        <v>3</v>
      </c>
      <c r="G46" s="137">
        <v>10</v>
      </c>
      <c r="H46" s="137">
        <v>13</v>
      </c>
      <c r="I46" s="137">
        <v>2</v>
      </c>
      <c r="J46" s="137">
        <v>1</v>
      </c>
      <c r="K46" s="137">
        <v>17</v>
      </c>
      <c r="L46" s="137">
        <v>12</v>
      </c>
      <c r="M46" s="137">
        <v>4</v>
      </c>
      <c r="N46" s="137">
        <v>14</v>
      </c>
      <c r="O46" s="137">
        <v>5</v>
      </c>
      <c r="P46" s="137">
        <v>20</v>
      </c>
      <c r="Q46" s="137">
        <v>19</v>
      </c>
      <c r="R46" s="256"/>
      <c r="S46" s="258"/>
      <c r="T46" s="259"/>
      <c r="U46" s="260"/>
      <c r="V46" s="260"/>
      <c r="W46" s="260"/>
      <c r="X46" s="265">
        <v>43</v>
      </c>
      <c r="Y46" s="137">
        <v>18</v>
      </c>
      <c r="Z46" s="137">
        <v>8</v>
      </c>
      <c r="AA46" s="137">
        <v>22</v>
      </c>
      <c r="AB46" s="137">
        <v>21</v>
      </c>
      <c r="AC46" s="137">
        <v>24</v>
      </c>
      <c r="AD46" s="267"/>
      <c r="AE46" s="267"/>
      <c r="AF46" s="273"/>
      <c r="AG46" s="268">
        <v>9</v>
      </c>
      <c r="AH46" s="269"/>
      <c r="AI46" s="259"/>
      <c r="AJ46" s="260"/>
      <c r="AK46" s="261"/>
    </row>
    <row r="47" spans="2:37" ht="19.8" thickBot="1">
      <c r="B47" s="277"/>
      <c r="C47" s="159" t="s">
        <v>2221</v>
      </c>
      <c r="D47" s="160" t="s">
        <v>2190</v>
      </c>
      <c r="E47" s="137">
        <v>41</v>
      </c>
      <c r="F47" s="137">
        <v>28</v>
      </c>
      <c r="G47" s="137">
        <v>23</v>
      </c>
      <c r="H47" s="137">
        <v>35</v>
      </c>
      <c r="I47" s="137">
        <v>37</v>
      </c>
      <c r="J47" s="137">
        <v>25</v>
      </c>
      <c r="K47" s="137">
        <v>16</v>
      </c>
      <c r="L47" s="137">
        <v>44</v>
      </c>
      <c r="M47" s="137">
        <v>26</v>
      </c>
      <c r="N47" s="137">
        <v>30</v>
      </c>
      <c r="O47" s="137">
        <v>32</v>
      </c>
      <c r="P47" s="137">
        <v>15</v>
      </c>
      <c r="Q47" s="137">
        <v>6</v>
      </c>
      <c r="R47" s="262"/>
      <c r="S47" s="264"/>
      <c r="T47" s="262"/>
      <c r="U47" s="263"/>
      <c r="V47" s="263"/>
      <c r="W47" s="263"/>
      <c r="X47" s="266"/>
      <c r="Y47" s="137">
        <v>39</v>
      </c>
      <c r="Z47" s="137">
        <v>38</v>
      </c>
      <c r="AA47" s="137">
        <v>49</v>
      </c>
      <c r="AB47" s="137">
        <v>7</v>
      </c>
      <c r="AC47" s="137">
        <v>33</v>
      </c>
      <c r="AD47" s="267"/>
      <c r="AE47" s="267"/>
      <c r="AF47" s="274"/>
      <c r="AG47" s="270"/>
      <c r="AH47" s="271"/>
      <c r="AI47" s="262"/>
      <c r="AJ47" s="263"/>
      <c r="AK47" s="264"/>
    </row>
    <row r="50" spans="4:37" ht="17.399999999999999">
      <c r="D50" s="248" t="s">
        <v>2222</v>
      </c>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row>
    <row r="51" spans="4:37" ht="17.399999999999999">
      <c r="D51" s="197" t="s">
        <v>2223</v>
      </c>
      <c r="E51" s="249" t="s">
        <v>240</v>
      </c>
      <c r="F51" s="250"/>
      <c r="G51" s="198" t="s">
        <v>2224</v>
      </c>
      <c r="H51" s="199" t="s">
        <v>2223</v>
      </c>
      <c r="I51" s="251" t="s">
        <v>240</v>
      </c>
      <c r="J51" s="251"/>
      <c r="K51" s="198" t="s">
        <v>2224</v>
      </c>
      <c r="L51" s="199" t="s">
        <v>2223</v>
      </c>
      <c r="M51" s="251" t="s">
        <v>240</v>
      </c>
      <c r="N51" s="251"/>
      <c r="O51" s="198" t="s">
        <v>2224</v>
      </c>
      <c r="P51" s="199" t="s">
        <v>2223</v>
      </c>
      <c r="Q51" s="251" t="s">
        <v>240</v>
      </c>
      <c r="R51" s="251"/>
      <c r="S51" s="251"/>
      <c r="T51" s="198" t="s">
        <v>2224</v>
      </c>
      <c r="U51" s="199" t="s">
        <v>2223</v>
      </c>
      <c r="V51" s="200"/>
      <c r="W51" s="252"/>
      <c r="X51" s="252"/>
      <c r="Y51" s="253"/>
      <c r="Z51" s="198" t="s">
        <v>2224</v>
      </c>
      <c r="AA51" s="199" t="s">
        <v>2223</v>
      </c>
      <c r="AB51" s="251" t="s">
        <v>240</v>
      </c>
      <c r="AC51" s="251"/>
      <c r="AD51" s="201" t="s">
        <v>2224</v>
      </c>
      <c r="AE51"/>
      <c r="AF51"/>
      <c r="AG51"/>
      <c r="AH51"/>
      <c r="AI51"/>
      <c r="AJ51"/>
      <c r="AK51"/>
    </row>
    <row r="52" spans="4:37" ht="19.95" customHeight="1">
      <c r="D52" s="139">
        <v>1</v>
      </c>
      <c r="E52" s="232" t="s">
        <v>2225</v>
      </c>
      <c r="F52" s="233"/>
      <c r="G52" s="162">
        <f>'[1]감독 순번'!G5</f>
        <v>6</v>
      </c>
      <c r="H52" s="163">
        <v>11</v>
      </c>
      <c r="I52" s="234" t="s">
        <v>2226</v>
      </c>
      <c r="J52" s="235"/>
      <c r="K52" s="162">
        <f>'[1]감독 순번'!G15</f>
        <v>5</v>
      </c>
      <c r="L52" s="163">
        <v>21</v>
      </c>
      <c r="M52" s="232" t="s">
        <v>2227</v>
      </c>
      <c r="N52" s="233"/>
      <c r="O52" s="162">
        <f>'[1]감독 순번'!G25</f>
        <v>5</v>
      </c>
      <c r="P52" s="163">
        <v>31</v>
      </c>
      <c r="Q52" s="240" t="s">
        <v>2228</v>
      </c>
      <c r="R52" s="241"/>
      <c r="S52" s="242"/>
      <c r="T52" s="162">
        <f>'[1]감독 순번'!G35</f>
        <v>5</v>
      </c>
      <c r="U52" s="163">
        <v>41</v>
      </c>
      <c r="V52" s="240" t="s">
        <v>2229</v>
      </c>
      <c r="W52" s="241"/>
      <c r="X52" s="241"/>
      <c r="Y52" s="242"/>
      <c r="Z52" s="162">
        <f>'[1]감독 순번'!G45</f>
        <v>7</v>
      </c>
      <c r="AA52" s="163">
        <v>51</v>
      </c>
      <c r="AB52" s="239" t="s">
        <v>2230</v>
      </c>
      <c r="AC52" s="239"/>
      <c r="AD52" s="139">
        <f>'[1]감독 순번'!G55</f>
        <v>5</v>
      </c>
      <c r="AE52"/>
      <c r="AF52"/>
      <c r="AG52"/>
      <c r="AH52"/>
      <c r="AI52"/>
      <c r="AJ52"/>
      <c r="AK52"/>
    </row>
    <row r="53" spans="4:37" ht="19.95" customHeight="1">
      <c r="D53" s="139">
        <v>2</v>
      </c>
      <c r="E53" s="234" t="s">
        <v>2226</v>
      </c>
      <c r="F53" s="235"/>
      <c r="G53" s="162">
        <f>'[1]감독 순번'!G6</f>
        <v>6</v>
      </c>
      <c r="H53" s="163">
        <v>12</v>
      </c>
      <c r="I53" s="232" t="s">
        <v>2231</v>
      </c>
      <c r="J53" s="233"/>
      <c r="K53" s="162">
        <f>'[1]감독 순번'!G16</f>
        <v>6</v>
      </c>
      <c r="L53" s="163">
        <v>22</v>
      </c>
      <c r="M53" s="244" t="s">
        <v>2232</v>
      </c>
      <c r="N53" s="245"/>
      <c r="O53" s="162">
        <f>'[1]감독 순번'!G26</f>
        <v>6</v>
      </c>
      <c r="P53" s="163">
        <v>32</v>
      </c>
      <c r="Q53" s="240" t="s">
        <v>2233</v>
      </c>
      <c r="R53" s="241"/>
      <c r="S53" s="242"/>
      <c r="T53" s="162">
        <f>'[1]감독 순번'!G36</f>
        <v>7</v>
      </c>
      <c r="U53" s="163">
        <v>42</v>
      </c>
      <c r="V53" s="240" t="s">
        <v>2234</v>
      </c>
      <c r="W53" s="241"/>
      <c r="X53" s="241"/>
      <c r="Y53" s="242"/>
      <c r="Z53" s="162">
        <f>'[1]감독 순번'!G46</f>
        <v>7</v>
      </c>
      <c r="AA53" s="163">
        <v>52</v>
      </c>
      <c r="AB53" s="246" t="s">
        <v>2235</v>
      </c>
      <c r="AC53" s="247"/>
      <c r="AD53" s="139">
        <f>'[1]감독 순번'!G56</f>
        <v>5</v>
      </c>
      <c r="AE53"/>
      <c r="AF53"/>
      <c r="AG53"/>
      <c r="AH53"/>
      <c r="AI53"/>
      <c r="AJ53"/>
      <c r="AK53"/>
    </row>
    <row r="54" spans="4:37" ht="19.95" customHeight="1">
      <c r="D54" s="139">
        <v>3</v>
      </c>
      <c r="E54" s="232" t="s">
        <v>2236</v>
      </c>
      <c r="F54" s="233"/>
      <c r="G54" s="162">
        <f>'[1]감독 순번'!G7</f>
        <v>6</v>
      </c>
      <c r="H54" s="163">
        <v>13</v>
      </c>
      <c r="I54" s="232" t="s">
        <v>2237</v>
      </c>
      <c r="J54" s="233"/>
      <c r="K54" s="162">
        <f>'[1]감독 순번'!G17</f>
        <v>6</v>
      </c>
      <c r="L54" s="163">
        <v>23</v>
      </c>
      <c r="M54" s="232" t="s">
        <v>2238</v>
      </c>
      <c r="N54" s="233"/>
      <c r="O54" s="162">
        <f>'[1]감독 순번'!G27</f>
        <v>4</v>
      </c>
      <c r="P54" s="163">
        <v>33</v>
      </c>
      <c r="Q54" s="240" t="s">
        <v>2239</v>
      </c>
      <c r="R54" s="241"/>
      <c r="S54" s="242"/>
      <c r="T54" s="162">
        <f>'[1]감독 순번'!G37</f>
        <v>7</v>
      </c>
      <c r="U54" s="163">
        <v>43</v>
      </c>
      <c r="V54" s="240" t="s">
        <v>2240</v>
      </c>
      <c r="W54" s="241"/>
      <c r="X54" s="241"/>
      <c r="Y54" s="242"/>
      <c r="Z54" s="162">
        <f>'[1]감독 순번'!G47</f>
        <v>7</v>
      </c>
      <c r="AA54" s="163">
        <v>53</v>
      </c>
      <c r="AB54" s="239" t="s">
        <v>2241</v>
      </c>
      <c r="AC54" s="239"/>
      <c r="AD54" s="139">
        <f>'[1]감독 순번'!G57</f>
        <v>2</v>
      </c>
      <c r="AE54"/>
      <c r="AF54"/>
      <c r="AG54"/>
      <c r="AH54"/>
      <c r="AI54"/>
      <c r="AJ54"/>
      <c r="AK54"/>
    </row>
    <row r="55" spans="4:37" ht="19.95" customHeight="1">
      <c r="D55" s="139">
        <v>4</v>
      </c>
      <c r="E55" s="232" t="s">
        <v>2242</v>
      </c>
      <c r="F55" s="233"/>
      <c r="G55" s="162">
        <f>'[1]감독 순번'!G8</f>
        <v>6</v>
      </c>
      <c r="H55" s="163">
        <v>14</v>
      </c>
      <c r="I55" s="234" t="s">
        <v>2243</v>
      </c>
      <c r="J55" s="235"/>
      <c r="K55" s="162">
        <f>'[1]감독 순번'!G18</f>
        <v>6</v>
      </c>
      <c r="L55" s="163">
        <v>24</v>
      </c>
      <c r="M55" s="234" t="s">
        <v>2244</v>
      </c>
      <c r="N55" s="235"/>
      <c r="O55" s="162">
        <f>'[1]감독 순번'!G28</f>
        <v>4</v>
      </c>
      <c r="P55" s="163">
        <v>34</v>
      </c>
      <c r="Q55" s="240" t="s">
        <v>2245</v>
      </c>
      <c r="R55" s="241"/>
      <c r="S55" s="242"/>
      <c r="T55" s="162">
        <f>'[1]감독 순번'!G38</f>
        <v>7</v>
      </c>
      <c r="U55" s="163">
        <v>44</v>
      </c>
      <c r="V55" s="240" t="s">
        <v>2246</v>
      </c>
      <c r="W55" s="241"/>
      <c r="X55" s="241"/>
      <c r="Y55" s="242"/>
      <c r="Z55" s="162">
        <f>'[1]감독 순번'!G48</f>
        <v>7</v>
      </c>
      <c r="AA55" s="163">
        <v>54</v>
      </c>
      <c r="AB55" s="239" t="s">
        <v>2247</v>
      </c>
      <c r="AC55" s="239"/>
      <c r="AD55" s="139">
        <f>'[1]감독 순번'!G58</f>
        <v>1</v>
      </c>
      <c r="AE55"/>
      <c r="AF55"/>
      <c r="AG55"/>
      <c r="AH55"/>
      <c r="AI55"/>
      <c r="AJ55"/>
      <c r="AK55"/>
    </row>
    <row r="56" spans="4:37" ht="19.95" customHeight="1">
      <c r="D56" s="139">
        <v>5</v>
      </c>
      <c r="E56" s="234" t="s">
        <v>2248</v>
      </c>
      <c r="F56" s="235"/>
      <c r="G56" s="162">
        <f>'[1]감독 순번'!G9</f>
        <v>6</v>
      </c>
      <c r="H56" s="163">
        <v>15</v>
      </c>
      <c r="I56" s="234" t="s">
        <v>2249</v>
      </c>
      <c r="J56" s="235"/>
      <c r="K56" s="162">
        <f>'[1]감독 순번'!G19</f>
        <v>6</v>
      </c>
      <c r="L56" s="163">
        <v>25</v>
      </c>
      <c r="M56" s="234" t="s">
        <v>2250</v>
      </c>
      <c r="N56" s="235"/>
      <c r="O56" s="162">
        <f>'[1]감독 순번'!G29</f>
        <v>6</v>
      </c>
      <c r="P56" s="163">
        <v>35</v>
      </c>
      <c r="Q56" s="240" t="s">
        <v>2251</v>
      </c>
      <c r="R56" s="241"/>
      <c r="S56" s="242"/>
      <c r="T56" s="162">
        <f>'[1]감독 순번'!G39</f>
        <v>7</v>
      </c>
      <c r="U56" s="163">
        <v>45</v>
      </c>
      <c r="V56" s="240" t="s">
        <v>2252</v>
      </c>
      <c r="W56" s="241"/>
      <c r="X56" s="241"/>
      <c r="Y56" s="242"/>
      <c r="Z56" s="162">
        <f>'[1]감독 순번'!G49</f>
        <v>7</v>
      </c>
      <c r="AA56" s="163">
        <v>55</v>
      </c>
      <c r="AB56" s="239"/>
      <c r="AC56" s="239"/>
      <c r="AD56" s="139"/>
      <c r="AE56"/>
      <c r="AF56"/>
      <c r="AG56"/>
      <c r="AH56"/>
      <c r="AI56"/>
      <c r="AJ56"/>
      <c r="AK56"/>
    </row>
    <row r="57" spans="4:37" ht="19.95" customHeight="1">
      <c r="D57" s="139">
        <v>6</v>
      </c>
      <c r="E57" s="232" t="s">
        <v>2253</v>
      </c>
      <c r="F57" s="233"/>
      <c r="G57" s="162">
        <f>'[1]감독 순번'!G10</f>
        <v>6</v>
      </c>
      <c r="H57" s="163">
        <v>16</v>
      </c>
      <c r="I57" s="234" t="s">
        <v>2254</v>
      </c>
      <c r="J57" s="235"/>
      <c r="K57" s="162">
        <f>'[1]감독 순번'!G20</f>
        <v>3</v>
      </c>
      <c r="L57" s="163">
        <v>26</v>
      </c>
      <c r="M57" s="232" t="s">
        <v>2255</v>
      </c>
      <c r="N57" s="233"/>
      <c r="O57" s="162">
        <f>'[1]감독 순번'!G30</f>
        <v>6</v>
      </c>
      <c r="P57" s="163">
        <v>36</v>
      </c>
      <c r="Q57" s="240" t="s">
        <v>2256</v>
      </c>
      <c r="R57" s="241"/>
      <c r="S57" s="242"/>
      <c r="T57" s="162">
        <f>'[1]감독 순번'!G40</f>
        <v>6</v>
      </c>
      <c r="U57" s="163">
        <v>46</v>
      </c>
      <c r="V57" s="240" t="s">
        <v>2257</v>
      </c>
      <c r="W57" s="241"/>
      <c r="X57" s="241"/>
      <c r="Y57" s="242"/>
      <c r="Z57" s="162">
        <f>'[1]감독 순번'!G50</f>
        <v>7</v>
      </c>
      <c r="AA57" s="163">
        <v>56</v>
      </c>
      <c r="AB57" s="239"/>
      <c r="AC57" s="239"/>
      <c r="AD57" s="139"/>
      <c r="AE57"/>
      <c r="AF57"/>
      <c r="AG57"/>
      <c r="AH57"/>
      <c r="AI57"/>
      <c r="AJ57"/>
      <c r="AK57"/>
    </row>
    <row r="58" spans="4:37" ht="19.95" customHeight="1">
      <c r="D58" s="139">
        <v>7</v>
      </c>
      <c r="E58" s="232" t="s">
        <v>2258</v>
      </c>
      <c r="F58" s="233"/>
      <c r="G58" s="162">
        <f>'[1]감독 순번'!G11</f>
        <v>6</v>
      </c>
      <c r="H58" s="163">
        <v>17</v>
      </c>
      <c r="I58" s="234" t="s">
        <v>2259</v>
      </c>
      <c r="J58" s="235"/>
      <c r="K58" s="162">
        <f>'[1]감독 순번'!G21</f>
        <v>6</v>
      </c>
      <c r="L58" s="163">
        <v>27</v>
      </c>
      <c r="M58" s="232" t="s">
        <v>2260</v>
      </c>
      <c r="N58" s="233"/>
      <c r="O58" s="162">
        <f>'[1]감독 순번'!G31</f>
        <v>6</v>
      </c>
      <c r="P58" s="163">
        <v>37</v>
      </c>
      <c r="Q58" s="240" t="s">
        <v>2261</v>
      </c>
      <c r="R58" s="241"/>
      <c r="S58" s="242"/>
      <c r="T58" s="162">
        <f>'[1]감독 순번'!G41</f>
        <v>7</v>
      </c>
      <c r="U58" s="163">
        <v>47</v>
      </c>
      <c r="V58" s="240" t="s">
        <v>2262</v>
      </c>
      <c r="W58" s="241"/>
      <c r="X58" s="241"/>
      <c r="Y58" s="242"/>
      <c r="Z58" s="162">
        <f>'[1]감독 순번'!G51</f>
        <v>7</v>
      </c>
      <c r="AA58" s="163">
        <v>57</v>
      </c>
      <c r="AB58" s="239"/>
      <c r="AC58" s="239"/>
      <c r="AD58" s="139"/>
      <c r="AE58"/>
      <c r="AF58"/>
      <c r="AG58"/>
      <c r="AH58"/>
      <c r="AI58"/>
      <c r="AJ58"/>
      <c r="AK58"/>
    </row>
    <row r="59" spans="4:37" ht="19.95" customHeight="1">
      <c r="D59" s="164">
        <v>8</v>
      </c>
      <c r="E59" s="232" t="s">
        <v>2263</v>
      </c>
      <c r="F59" s="233"/>
      <c r="G59" s="162">
        <f>'[1]감독 순번'!G12</f>
        <v>6</v>
      </c>
      <c r="H59" s="163">
        <v>18</v>
      </c>
      <c r="I59" s="232" t="s">
        <v>2264</v>
      </c>
      <c r="J59" s="233"/>
      <c r="K59" s="162">
        <f>'[1]감독 순번'!G22</f>
        <v>6</v>
      </c>
      <c r="L59" s="163">
        <v>28</v>
      </c>
      <c r="M59" s="232" t="s">
        <v>2265</v>
      </c>
      <c r="N59" s="233"/>
      <c r="O59" s="162">
        <f>'[1]감독 순번'!G32</f>
        <v>6</v>
      </c>
      <c r="P59" s="163">
        <v>38</v>
      </c>
      <c r="Q59" s="240" t="s">
        <v>2266</v>
      </c>
      <c r="R59" s="241"/>
      <c r="S59" s="242"/>
      <c r="T59" s="162">
        <f>'[1]감독 순번'!G42</f>
        <v>7</v>
      </c>
      <c r="U59" s="163">
        <v>48</v>
      </c>
      <c r="V59" s="240" t="s">
        <v>2267</v>
      </c>
      <c r="W59" s="241"/>
      <c r="X59" s="241"/>
      <c r="Y59" s="242"/>
      <c r="Z59" s="162">
        <f>'[1]감독 순번'!G52</f>
        <v>7</v>
      </c>
      <c r="AA59" s="163">
        <v>58</v>
      </c>
      <c r="AB59" s="243"/>
      <c r="AC59" s="243"/>
      <c r="AD59" s="139"/>
      <c r="AE59"/>
      <c r="AF59"/>
      <c r="AG59"/>
      <c r="AH59"/>
      <c r="AI59"/>
      <c r="AJ59"/>
      <c r="AK59"/>
    </row>
    <row r="60" spans="4:37" ht="19.95" customHeight="1">
      <c r="D60" s="139">
        <v>9</v>
      </c>
      <c r="E60" s="234" t="s">
        <v>2268</v>
      </c>
      <c r="F60" s="235"/>
      <c r="G60" s="162">
        <f>'[1]감독 순번'!G13</f>
        <v>6</v>
      </c>
      <c r="H60" s="163">
        <v>19</v>
      </c>
      <c r="I60" s="232" t="s">
        <v>2269</v>
      </c>
      <c r="J60" s="233"/>
      <c r="K60" s="162">
        <f>'[1]감독 순번'!G23</f>
        <v>6</v>
      </c>
      <c r="L60" s="163">
        <v>29</v>
      </c>
      <c r="M60" s="234" t="s">
        <v>2270</v>
      </c>
      <c r="N60" s="235"/>
      <c r="O60" s="162">
        <f>'[1]감독 순번'!G33</f>
        <v>6</v>
      </c>
      <c r="P60" s="163">
        <v>39</v>
      </c>
      <c r="Q60" s="240" t="s">
        <v>2271</v>
      </c>
      <c r="R60" s="241"/>
      <c r="S60" s="242"/>
      <c r="T60" s="162">
        <f>'[1]감독 순번'!G43</f>
        <v>7</v>
      </c>
      <c r="U60" s="163">
        <v>49</v>
      </c>
      <c r="V60" s="240" t="s">
        <v>2272</v>
      </c>
      <c r="W60" s="241"/>
      <c r="X60" s="241"/>
      <c r="Y60" s="242"/>
      <c r="Z60" s="162">
        <f>'[1]감독 순번'!G53</f>
        <v>4</v>
      </c>
      <c r="AA60" s="163">
        <v>59</v>
      </c>
      <c r="AB60" s="243"/>
      <c r="AC60" s="243"/>
      <c r="AD60" s="139"/>
      <c r="AE60"/>
      <c r="AF60"/>
      <c r="AG60"/>
      <c r="AH60"/>
      <c r="AI60"/>
      <c r="AJ60"/>
      <c r="AK60"/>
    </row>
    <row r="61" spans="4:37" ht="19.95" customHeight="1">
      <c r="D61" s="139">
        <v>10</v>
      </c>
      <c r="E61" s="232" t="s">
        <v>2273</v>
      </c>
      <c r="F61" s="233"/>
      <c r="G61" s="162">
        <f>'[1]감독 순번'!G14</f>
        <v>6</v>
      </c>
      <c r="H61" s="163">
        <v>20</v>
      </c>
      <c r="I61" s="232" t="s">
        <v>2274</v>
      </c>
      <c r="J61" s="233"/>
      <c r="K61" s="162">
        <f>'[1]감독 순번'!G24</f>
        <v>6</v>
      </c>
      <c r="L61" s="161">
        <v>30</v>
      </c>
      <c r="M61" s="234" t="s">
        <v>2275</v>
      </c>
      <c r="N61" s="235"/>
      <c r="O61" s="162">
        <f>'[1]감독 순번'!G34</f>
        <v>7</v>
      </c>
      <c r="P61" s="161">
        <v>40</v>
      </c>
      <c r="Q61" s="236" t="s">
        <v>2276</v>
      </c>
      <c r="R61" s="237"/>
      <c r="S61" s="238"/>
      <c r="T61" s="162">
        <f>'[1]감독 순번'!G44</f>
        <v>7</v>
      </c>
      <c r="U61" s="161">
        <v>50</v>
      </c>
      <c r="V61" s="236" t="s">
        <v>2277</v>
      </c>
      <c r="W61" s="237"/>
      <c r="X61" s="237"/>
      <c r="Y61" s="238"/>
      <c r="Z61" s="162">
        <f>'[1]감독 순번'!G54</f>
        <v>7</v>
      </c>
      <c r="AA61" s="161">
        <v>60</v>
      </c>
      <c r="AB61" s="239"/>
      <c r="AC61" s="239"/>
      <c r="AD61" s="139"/>
      <c r="AE61"/>
      <c r="AF61"/>
      <c r="AG61"/>
      <c r="AH61"/>
      <c r="AI61"/>
      <c r="AJ61"/>
      <c r="AK61"/>
    </row>
    <row r="62" spans="4:37" ht="16.5" customHeight="1">
      <c r="D62"/>
      <c r="E62"/>
      <c r="F62"/>
      <c r="G62"/>
      <c r="H62"/>
      <c r="I62"/>
      <c r="J62"/>
      <c r="K62"/>
      <c r="L62"/>
      <c r="M62"/>
      <c r="N62"/>
      <c r="O62"/>
      <c r="P62"/>
      <c r="Q62"/>
      <c r="R62"/>
      <c r="S62"/>
      <c r="T62"/>
      <c r="U62" s="165"/>
      <c r="V62" s="165"/>
      <c r="W62" s="231"/>
      <c r="X62" s="231"/>
      <c r="Y62" s="231"/>
      <c r="Z62"/>
      <c r="AA62"/>
      <c r="AB62"/>
      <c r="AC62"/>
      <c r="AD62"/>
      <c r="AE62"/>
      <c r="AF62"/>
      <c r="AG62"/>
      <c r="AH62"/>
      <c r="AI62"/>
      <c r="AJ62"/>
      <c r="AK62"/>
    </row>
  </sheetData>
  <mergeCells count="220">
    <mergeCell ref="S1:Y1"/>
    <mergeCell ref="B4:AK5"/>
    <mergeCell ref="AM4:AV29"/>
    <mergeCell ref="B7:B8"/>
    <mergeCell ref="C7:C8"/>
    <mergeCell ref="D7:D8"/>
    <mergeCell ref="E7:K7"/>
    <mergeCell ref="L7:S7"/>
    <mergeCell ref="T7:V7"/>
    <mergeCell ref="W7:X7"/>
    <mergeCell ref="Y7:AE7"/>
    <mergeCell ref="AF7:AI7"/>
    <mergeCell ref="AJ7:AK7"/>
    <mergeCell ref="B9:B17"/>
    <mergeCell ref="C9:C10"/>
    <mergeCell ref="E9:K9"/>
    <mergeCell ref="L9:S9"/>
    <mergeCell ref="T9:X14"/>
    <mergeCell ref="Y9:AE9"/>
    <mergeCell ref="AF9:AK14"/>
    <mergeCell ref="E10:H11"/>
    <mergeCell ref="I10:K11"/>
    <mergeCell ref="C12:C13"/>
    <mergeCell ref="E12:K12"/>
    <mergeCell ref="L12:S12"/>
    <mergeCell ref="Y12:AE12"/>
    <mergeCell ref="E13:H14"/>
    <mergeCell ref="I13:K14"/>
    <mergeCell ref="L13:O14"/>
    <mergeCell ref="P13:S14"/>
    <mergeCell ref="AF15:AH17"/>
    <mergeCell ref="AJ15:AK17"/>
    <mergeCell ref="L16:O17"/>
    <mergeCell ref="P16:S17"/>
    <mergeCell ref="Y16:AB17"/>
    <mergeCell ref="AC16:AE17"/>
    <mergeCell ref="Y13:AB14"/>
    <mergeCell ref="AC13:AE14"/>
    <mergeCell ref="C15:C16"/>
    <mergeCell ref="E15:K15"/>
    <mergeCell ref="L15:S15"/>
    <mergeCell ref="T15:V15"/>
    <mergeCell ref="W15:X17"/>
    <mergeCell ref="Y15:AE15"/>
    <mergeCell ref="B18:B26"/>
    <mergeCell ref="C18:C19"/>
    <mergeCell ref="E18:K18"/>
    <mergeCell ref="L18:O18"/>
    <mergeCell ref="P18:S18"/>
    <mergeCell ref="T18:X23"/>
    <mergeCell ref="C21:C22"/>
    <mergeCell ref="E21:K21"/>
    <mergeCell ref="L21:S21"/>
    <mergeCell ref="E22:H23"/>
    <mergeCell ref="C24:C25"/>
    <mergeCell ref="E24:K24"/>
    <mergeCell ref="L24:S24"/>
    <mergeCell ref="T24:V24"/>
    <mergeCell ref="W24:X26"/>
    <mergeCell ref="Z18:AC18"/>
    <mergeCell ref="AD18:AE18"/>
    <mergeCell ref="I22:K23"/>
    <mergeCell ref="AF18:AK23"/>
    <mergeCell ref="Z20:AA20"/>
    <mergeCell ref="AB20:AC20"/>
    <mergeCell ref="AD20:AE20"/>
    <mergeCell ref="Y21:AE21"/>
    <mergeCell ref="Y24:AE24"/>
    <mergeCell ref="AF24:AI26"/>
    <mergeCell ref="AJ24:AK24"/>
    <mergeCell ref="L25:O26"/>
    <mergeCell ref="P25:S26"/>
    <mergeCell ref="AB25:AE26"/>
    <mergeCell ref="AJ25:AJ26"/>
    <mergeCell ref="AK25:AK26"/>
    <mergeCell ref="L22:O23"/>
    <mergeCell ref="P22:S23"/>
    <mergeCell ref="Y22:AB23"/>
    <mergeCell ref="AC22:AE23"/>
    <mergeCell ref="B27:B35"/>
    <mergeCell ref="C27:C28"/>
    <mergeCell ref="E27:K27"/>
    <mergeCell ref="L27:S27"/>
    <mergeCell ref="T27:X32"/>
    <mergeCell ref="Y27:AE27"/>
    <mergeCell ref="I31:K32"/>
    <mergeCell ref="L31:O32"/>
    <mergeCell ref="P31:S32"/>
    <mergeCell ref="Y31:AB32"/>
    <mergeCell ref="AC31:AE32"/>
    <mergeCell ref="C33:C34"/>
    <mergeCell ref="E33:K33"/>
    <mergeCell ref="L33:S33"/>
    <mergeCell ref="T33:V35"/>
    <mergeCell ref="W33:X33"/>
    <mergeCell ref="Y33:AE33"/>
    <mergeCell ref="AF27:AI27"/>
    <mergeCell ref="AJ27:AK29"/>
    <mergeCell ref="Y28:Z29"/>
    <mergeCell ref="AD28:AE29"/>
    <mergeCell ref="C30:C31"/>
    <mergeCell ref="E30:K30"/>
    <mergeCell ref="L30:S30"/>
    <mergeCell ref="Y30:AE30"/>
    <mergeCell ref="AF30:AK32"/>
    <mergeCell ref="E31:H32"/>
    <mergeCell ref="AF33:AH33"/>
    <mergeCell ref="Y42:AE42"/>
    <mergeCell ref="E43:H44"/>
    <mergeCell ref="I43:K44"/>
    <mergeCell ref="L43:O44"/>
    <mergeCell ref="P43:S44"/>
    <mergeCell ref="Y43:AB44"/>
    <mergeCell ref="AC43:AE44"/>
    <mergeCell ref="AF36:AK44"/>
    <mergeCell ref="AI33:AK35"/>
    <mergeCell ref="Q34:S35"/>
    <mergeCell ref="W34:W35"/>
    <mergeCell ref="X34:X35"/>
    <mergeCell ref="Y34:AB35"/>
    <mergeCell ref="AC34:AE35"/>
    <mergeCell ref="B37:B47"/>
    <mergeCell ref="E37:H38"/>
    <mergeCell ref="I37:K38"/>
    <mergeCell ref="L37:O38"/>
    <mergeCell ref="P37:S38"/>
    <mergeCell ref="Y37:AB38"/>
    <mergeCell ref="C39:C40"/>
    <mergeCell ref="E39:K39"/>
    <mergeCell ref="L39:S39"/>
    <mergeCell ref="Y39:AE39"/>
    <mergeCell ref="C36:C37"/>
    <mergeCell ref="E36:K36"/>
    <mergeCell ref="L36:S36"/>
    <mergeCell ref="T36:X44"/>
    <mergeCell ref="Y36:AE36"/>
    <mergeCell ref="AC37:AE38"/>
    <mergeCell ref="C42:C43"/>
    <mergeCell ref="E42:K42"/>
    <mergeCell ref="L42:S42"/>
    <mergeCell ref="C45:C46"/>
    <mergeCell ref="E45:K45"/>
    <mergeCell ref="L45:S45"/>
    <mergeCell ref="T45:W47"/>
    <mergeCell ref="Y45:AE45"/>
    <mergeCell ref="D50:AK50"/>
    <mergeCell ref="E51:F51"/>
    <mergeCell ref="I51:J51"/>
    <mergeCell ref="M51:N51"/>
    <mergeCell ref="Q51:S51"/>
    <mergeCell ref="W51:Y51"/>
    <mergeCell ref="AB51:AC51"/>
    <mergeCell ref="AG45:AH45"/>
    <mergeCell ref="AI45:AK47"/>
    <mergeCell ref="R46:S47"/>
    <mergeCell ref="X46:X47"/>
    <mergeCell ref="AD46:AE47"/>
    <mergeCell ref="AG46:AH47"/>
    <mergeCell ref="AF45:AF47"/>
    <mergeCell ref="E53:F53"/>
    <mergeCell ref="I53:J53"/>
    <mergeCell ref="M53:N53"/>
    <mergeCell ref="Q53:S53"/>
    <mergeCell ref="V53:Y53"/>
    <mergeCell ref="AB53:AC53"/>
    <mergeCell ref="E52:F52"/>
    <mergeCell ref="I52:J52"/>
    <mergeCell ref="M52:N52"/>
    <mergeCell ref="Q52:S52"/>
    <mergeCell ref="V52:Y52"/>
    <mergeCell ref="AB52:AC52"/>
    <mergeCell ref="E55:F55"/>
    <mergeCell ref="I55:J55"/>
    <mergeCell ref="M55:N55"/>
    <mergeCell ref="Q55:S55"/>
    <mergeCell ref="V55:Y55"/>
    <mergeCell ref="AB55:AC55"/>
    <mergeCell ref="E54:F54"/>
    <mergeCell ref="I54:J54"/>
    <mergeCell ref="M54:N54"/>
    <mergeCell ref="Q54:S54"/>
    <mergeCell ref="V54:Y54"/>
    <mergeCell ref="AB54:AC54"/>
    <mergeCell ref="E57:F57"/>
    <mergeCell ref="I57:J57"/>
    <mergeCell ref="M57:N57"/>
    <mergeCell ref="Q57:S57"/>
    <mergeCell ref="V57:Y57"/>
    <mergeCell ref="AB57:AC57"/>
    <mergeCell ref="E56:F56"/>
    <mergeCell ref="I56:J56"/>
    <mergeCell ref="M56:N56"/>
    <mergeCell ref="Q56:S56"/>
    <mergeCell ref="V56:Y56"/>
    <mergeCell ref="AB56:AC56"/>
    <mergeCell ref="E59:F59"/>
    <mergeCell ref="I59:J59"/>
    <mergeCell ref="M59:N59"/>
    <mergeCell ref="Q59:S59"/>
    <mergeCell ref="V59:Y59"/>
    <mergeCell ref="AB59:AC59"/>
    <mergeCell ref="E58:F58"/>
    <mergeCell ref="I58:J58"/>
    <mergeCell ref="M58:N58"/>
    <mergeCell ref="Q58:S58"/>
    <mergeCell ref="V58:Y58"/>
    <mergeCell ref="AB58:AC58"/>
    <mergeCell ref="W62:Y62"/>
    <mergeCell ref="E61:F61"/>
    <mergeCell ref="I61:J61"/>
    <mergeCell ref="M61:N61"/>
    <mergeCell ref="Q61:S61"/>
    <mergeCell ref="V61:Y61"/>
    <mergeCell ref="AB61:AC61"/>
    <mergeCell ref="E60:F60"/>
    <mergeCell ref="I60:J60"/>
    <mergeCell ref="M60:N60"/>
    <mergeCell ref="Q60:S60"/>
    <mergeCell ref="V60:Y60"/>
    <mergeCell ref="AB60:AC60"/>
  </mergeCells>
  <phoneticPr fontId="1" type="noConversion"/>
  <conditionalFormatting sqref="E9:AK19 E20:Y20 AD20 AF20:AK20 E21:AK36 E37:Y37 AC37 AF37:AK38 E38:X38 E39:AK42 E43:Y43 AC43 AF43:AK44 E44:X44 E45:AK45 E46:AG46 AI46:AK47 E47:AF47">
    <cfRule type="cellIs" dxfId="3" priority="4" operator="equal">
      <formula>$B$3</formula>
    </cfRule>
  </conditionalFormatting>
  <conditionalFormatting sqref="E9:AK47">
    <cfRule type="cellIs" dxfId="2" priority="1" operator="equal">
      <formula>$B$3</formula>
    </cfRule>
  </conditionalFormatting>
  <conditionalFormatting sqref="Y21">
    <cfRule type="cellIs" dxfId="1" priority="3" operator="equal">
      <formula>$B$3</formula>
    </cfRule>
  </conditionalFormatting>
  <conditionalFormatting sqref="Y30">
    <cfRule type="cellIs" dxfId="0" priority="2" operator="equal">
      <formula>$B$3</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C09C-464F-4223-B53E-2FA595CD1AB9}">
  <sheetPr codeName="Sheet18"/>
  <dimension ref="B2:T59"/>
  <sheetViews>
    <sheetView zoomScale="70" zoomScaleNormal="70" workbookViewId="0">
      <selection activeCell="V9" sqref="V9"/>
    </sheetView>
  </sheetViews>
  <sheetFormatPr defaultColWidth="8.69921875" defaultRowHeight="17.399999999999999"/>
  <cols>
    <col min="1" max="1" width="2" style="166" customWidth="1"/>
    <col min="2" max="2" width="8.69921875" style="166"/>
    <col min="3" max="3" width="8.69921875" style="167"/>
    <col min="4" max="7" width="5.69921875" style="166" customWidth="1"/>
    <col min="8" max="15" width="5.69921875" style="166" hidden="1" customWidth="1"/>
    <col min="16" max="16" width="23.69921875" style="166" bestFit="1" customWidth="1"/>
    <col min="17" max="17" width="22.19921875" style="168" hidden="1" customWidth="1"/>
    <col min="18" max="16384" width="8.69921875" style="166"/>
  </cols>
  <sheetData>
    <row r="2" spans="2:20" ht="36.6" customHeight="1" thickBot="1">
      <c r="B2" s="378" t="s">
        <v>2278</v>
      </c>
      <c r="C2" s="379"/>
      <c r="D2" s="379"/>
      <c r="E2" s="379"/>
      <c r="F2" s="379"/>
      <c r="G2" s="379"/>
      <c r="H2" s="379"/>
      <c r="I2" s="379"/>
      <c r="J2" s="379"/>
      <c r="K2" s="379"/>
      <c r="L2" s="379"/>
      <c r="M2" s="379"/>
      <c r="N2" s="379"/>
      <c r="O2" s="379"/>
      <c r="P2" s="380"/>
    </row>
    <row r="3" spans="2:20" ht="22.2" customHeight="1">
      <c r="B3" s="381" t="s">
        <v>2279</v>
      </c>
      <c r="C3" s="382"/>
      <c r="D3" s="383" t="s">
        <v>2280</v>
      </c>
      <c r="E3" s="384"/>
      <c r="F3" s="384"/>
      <c r="G3" s="384"/>
      <c r="H3" s="381" t="s">
        <v>2281</v>
      </c>
      <c r="I3" s="384"/>
      <c r="J3" s="384"/>
      <c r="K3" s="385"/>
      <c r="L3" s="384" t="s">
        <v>2282</v>
      </c>
      <c r="M3" s="384"/>
      <c r="N3" s="384"/>
      <c r="O3" s="382"/>
      <c r="P3" s="386" t="s">
        <v>2283</v>
      </c>
    </row>
    <row r="4" spans="2:20" ht="20.7" customHeight="1" thickBot="1">
      <c r="B4" s="169" t="s">
        <v>2284</v>
      </c>
      <c r="C4" s="170" t="s">
        <v>2285</v>
      </c>
      <c r="D4" s="171" t="s">
        <v>2286</v>
      </c>
      <c r="E4" s="171" t="s">
        <v>2287</v>
      </c>
      <c r="F4" s="171" t="s">
        <v>2185</v>
      </c>
      <c r="G4" s="172" t="s">
        <v>2288</v>
      </c>
      <c r="H4" s="169" t="s">
        <v>2286</v>
      </c>
      <c r="I4" s="171" t="s">
        <v>2287</v>
      </c>
      <c r="J4" s="171" t="s">
        <v>2185</v>
      </c>
      <c r="K4" s="173" t="s">
        <v>2288</v>
      </c>
      <c r="L4" s="174" t="s">
        <v>2286</v>
      </c>
      <c r="M4" s="171" t="s">
        <v>2287</v>
      </c>
      <c r="N4" s="171" t="s">
        <v>2185</v>
      </c>
      <c r="O4" s="171" t="s">
        <v>2288</v>
      </c>
      <c r="P4" s="387"/>
    </row>
    <row r="5" spans="2:20" ht="19.95" customHeight="1">
      <c r="B5" s="175">
        <v>1</v>
      </c>
      <c r="C5" s="176" t="str">
        <f>[1]감독시간표!E52</f>
        <v>임웅묵</v>
      </c>
      <c r="D5" s="177" t="e">
        <f>COUNTIF([1]감독시간표!$L$10:$S$10,'[1]감독 순번'!B5)+COUNTIF([1]감독시간표!$Y$10:$AE$10,'[1]감독 순번'!B5)+COUNTIF([1]감독시간표!$E$16:$K$16,'[1]감독 순번'!B5)+COUNTIF([1]감독시간표!$T$16:$V$16,'[1]감독 순번'!B5)+COUNTIF([1]감독시간표!$AI$16,'[1]감독 순번'!B5)+COUNTIF([1]감독시간표!$E$19:$S$19,'[1]감독 순번'!B5)+COUNTIF([1]감독시간표!$Y$19:$AE$19,'[1]감독 순번'!B5)+COUNTIF([1]감독시간표!$E$25:$K$25,'[1]감독 순번'!B5)+COUNTIF([1]감독시간표!$T$25:$V$25,'[1]감독 순번'!B5)+COUNTIF([1]감독시간표!$Y$25:$AA$25,'[1]감독 순번'!B5)+COUNTIF([1]감독시간표!$E$28:$S$28,'[1]감독 순번'!B5)+COUNTIF([1]감독시간표!$AA$28:$AC$28,'[1]감독 순번'!B5)+COUNTIF([1]감독시간표!$AF$28:$AI$28,'[1]감독 순번'!B5)+COUNTIF([1]감독시간표!$E$34:$P$34,'[1]감독 순번'!B5)+COUNTIF([1]감독시간표!$AF$34:$AH$34,'[1]감독 순번'!B5)+COUNTIF([1]감독시간표!$E$40:$S$40,'[1]감독 순번'!B5)+COUNTIF([1]감독시간표!$Y$40:$AE$40,'[1]감독 순번'!B5)+COUNTIF([1]감독시간표!$E$46:$Q$46,'[1]감독 순번'!B5)+COUNTIF([1]감독시간표!$Y$46:$AC$46,'[1]감독 순번'!B5)</f>
        <v>#VALUE!</v>
      </c>
      <c r="E5" s="177" t="e">
        <f>COUNTIF([1]감독시간표!$L$11:$S$11,'[1]감독 순번'!B5)+COUNTIF([1]감독시간표!$Y$11:$AE$11,'[1]감독 순번'!B5)+COUNTIF([1]감독시간표!$E$17:$K$17,'[1]감독 순번'!B5)+COUNTIF([1]감독시간표!$T$17:$V$17,'[1]감독 순번'!B5)+COUNTIF([1]감독시간표!$AI$17,'[1]감독 순번'!B5)+COUNTIF([1]감독시간표!$E$20:$S$20,'[1]감독 순번'!B5)+COUNTIF([1]감독시간표!$Y$20:$AE$20,'[1]감독 순번'!B5)+COUNTIF([1]감독시간표!$E$26:$K$26,'[1]감독 순번'!B5)+COUNTIF([1]감독시간표!$T$26:$V$26,'[1]감독 순번'!B5)+COUNTIF([1]감독시간표!$Y$26:$AA$26,'[1]감독 순번'!B5)+COUNTIF([1]감독시간표!$E$29:$S$29,'[1]감독 순번'!B5)+COUNTIF([1]감독시간표!$AA$29:$AC$29,'[1]감독 순번'!B5)+COUNTIF([1]감독시간표!$AF$29:$AI$29,'[1]감독 순번'!B5)+COUNTIF([1]감독시간표!$E$35:$P$35,'[1]감독 순번'!B5)+COUNTIF([1]감독시간표!$AF$35:$AH$35,'[1]감독 순번'!B5)+COUNTIF([1]감독시간표!$E$41:$S$41,'[1]감독 순번'!B5)+COUNTIF([1]감독시간표!$Y$41:$AE$41,'[1]감독 순번'!B5)+COUNTIF([1]감독시간표!$E$47:$Q$47,'[1]감독 순번'!B5)+COUNTIF([1]감독시간표!$Y$47:$AC$47,'[1]감독 순번'!B5)</f>
        <v>#VALUE!</v>
      </c>
      <c r="F5" s="177" t="e">
        <f>COUNTIF([1]감독시간표!$E$10:$K$11,'[1]감독 순번'!B5)+COUNTIF([1]감독시간표!$E$13:$S$14,'[1]감독 순번'!B5)+COUNTIF([1]감독시간표!$Y$13:$AE$14,'[1]감독 순번'!B5)+COUNTIF([1]감독시간표!$L$16:$S$17,'[1]감독 순번'!B5)+COUNTIF([1]감독시간표!$Y$16:$AE$17,'[1]감독 순번'!B5)+COUNTIF([1]감독시간표!$E$22:$S$23,'[1]감독 순번'!B5)+COUNTIF([1]감독시간표!$Y$22:$AE$23,'[1]감독 순번'!B5)+COUNTIF([1]감독시간표!$L$25:$S$26,'[1]감독 순번'!B5)+COUNTIF([1]감독시간표!$AJ$25:$AK$26,'[1]감독 순번'!B5)+COUNTIF([1]감독시간표!$E$31:$S$32,'[1]감독 순번'!B5)+COUNTIF([1]감독시간표!$Y$31:$AE$32,'[1]감독 순번'!B5)+COUNTIF([1]감독시간표!$W$34:$AE$35,'[1]감독 순번'!B5)+COUNTIF([1]감독시간표!$E$37:$S$38,'[1]감독 순번'!B5)+COUNTIF([1]감독시간표!$Y$37:$AE$38,'[1]감독 순번'!B5)+COUNTIF([1]감독시간표!$E$43:$S$44,'[1]감독 순번'!B5)+COUNTIF([1]감독시간표!$Y$43:$AE$44,'[1]감독 순번'!B5)+COUNTIF([1]감독시간표!$X$46,'[1]감독 순번'!B5)+COUNTIF([1]감독시간표!$AG$46,'[1]감독 순번'!B5)</f>
        <v>#VALUE!</v>
      </c>
      <c r="G5" s="178" t="e">
        <f>SUM(D5:F5)</f>
        <v>#VALUE!</v>
      </c>
      <c r="H5" s="179"/>
      <c r="I5" s="177"/>
      <c r="J5" s="177"/>
      <c r="K5" s="180"/>
      <c r="L5" s="181"/>
      <c r="M5" s="182"/>
      <c r="N5" s="182"/>
      <c r="O5" s="182"/>
      <c r="P5" s="183"/>
      <c r="Q5" s="51"/>
    </row>
    <row r="6" spans="2:20" ht="19.95" customHeight="1">
      <c r="B6" s="184">
        <v>2</v>
      </c>
      <c r="C6" s="176" t="str">
        <f>[1]감독시간표!E53</f>
        <v>김미정</v>
      </c>
      <c r="D6" s="177" t="e">
        <f>COUNTIF([1]감독시간표!$L$10:$S$10,'[1]감독 순번'!B6)+COUNTIF([1]감독시간표!$Y$10:$AE$10,'[1]감독 순번'!B6)+COUNTIF([1]감독시간표!$E$16:$K$16,'[1]감독 순번'!B6)+COUNTIF([1]감독시간표!$T$16:$V$16,'[1]감독 순번'!B6)+COUNTIF([1]감독시간표!$AI$16,'[1]감독 순번'!B6)+COUNTIF([1]감독시간표!$E$19:$S$19,'[1]감독 순번'!B6)+COUNTIF([1]감독시간표!$Y$19:$AE$19,'[1]감독 순번'!B6)+COUNTIF([1]감독시간표!$E$25:$K$25,'[1]감독 순번'!B6)+COUNTIF([1]감독시간표!$T$25:$V$25,'[1]감독 순번'!B6)+COUNTIF([1]감독시간표!$Y$25:$AA$25,'[1]감독 순번'!B6)+COUNTIF([1]감독시간표!$E$28:$S$28,'[1]감독 순번'!B6)+COUNTIF([1]감독시간표!$AA$28:$AC$28,'[1]감독 순번'!B6)+COUNTIF([1]감독시간표!$AF$28:$AI$28,'[1]감독 순번'!B6)+COUNTIF([1]감독시간표!$E$34:$P$34,'[1]감독 순번'!B6)+COUNTIF([1]감독시간표!$AF$34:$AH$34,'[1]감독 순번'!B6)+COUNTIF([1]감독시간표!$E$40:$S$40,'[1]감독 순번'!B6)+COUNTIF([1]감독시간표!$Y$40:$AE$40,'[1]감독 순번'!B6)+COUNTIF([1]감독시간표!$E$46:$Q$46,'[1]감독 순번'!B6)+COUNTIF([1]감독시간표!$Y$46:$AC$46,'[1]감독 순번'!B6)</f>
        <v>#VALUE!</v>
      </c>
      <c r="E6" s="177" t="e">
        <f>COUNTIF([1]감독시간표!$L$11:$S$11,'[1]감독 순번'!B6)+COUNTIF([1]감독시간표!$Y$11:$AE$11,'[1]감독 순번'!B6)+COUNTIF([1]감독시간표!$E$17:$K$17,'[1]감독 순번'!B6)+COUNTIF([1]감독시간표!$T$17:$V$17,'[1]감독 순번'!B6)+COUNTIF([1]감독시간표!$AI$17,'[1]감독 순번'!B6)+COUNTIF([1]감독시간표!$E$20:$S$20,'[1]감독 순번'!B6)+COUNTIF([1]감독시간표!$Y$20:$AE$20,'[1]감독 순번'!B6)+COUNTIF([1]감독시간표!$E$26:$K$26,'[1]감독 순번'!B6)+COUNTIF([1]감독시간표!$T$26:$V$26,'[1]감독 순번'!B6)+COUNTIF([1]감독시간표!$Y$26:$AA$26,'[1]감독 순번'!B6)+COUNTIF([1]감독시간표!$E$29:$S$29,'[1]감독 순번'!B6)+COUNTIF([1]감독시간표!$AA$29:$AC$29,'[1]감독 순번'!B6)+COUNTIF([1]감독시간표!$AF$29:$AI$29,'[1]감독 순번'!B6)+COUNTIF([1]감독시간표!$E$35:$P$35,'[1]감독 순번'!B6)+COUNTIF([1]감독시간표!$AF$35:$AH$35,'[1]감독 순번'!B6)+COUNTIF([1]감독시간표!$E$41:$S$41,'[1]감독 순번'!B6)+COUNTIF([1]감독시간표!$Y$41:$AE$41,'[1]감독 순번'!B6)+COUNTIF([1]감독시간표!$E$47:$Q$47,'[1]감독 순번'!B6)+COUNTIF([1]감독시간표!$Y$47:$AC$47,'[1]감독 순번'!B6)</f>
        <v>#VALUE!</v>
      </c>
      <c r="F6" s="177" t="e">
        <f>COUNTIF([1]감독시간표!$E$10:$K$11,'[1]감독 순번'!B6)+COUNTIF([1]감독시간표!$E$13:$S$14,'[1]감독 순번'!B6)+COUNTIF([1]감독시간표!$Y$13:$AE$14,'[1]감독 순번'!B6)+COUNTIF([1]감독시간표!$L$16:$S$17,'[1]감독 순번'!B6)+COUNTIF([1]감독시간표!$Y$16:$AE$17,'[1]감독 순번'!B6)+COUNTIF([1]감독시간표!$E$22:$S$23,'[1]감독 순번'!B6)+COUNTIF([1]감독시간표!$Y$22:$AE$23,'[1]감독 순번'!B6)+COUNTIF([1]감독시간표!$L$25:$S$26,'[1]감독 순번'!B6)+COUNTIF([1]감독시간표!$AJ$25:$AK$26,'[1]감독 순번'!B6)+COUNTIF([1]감독시간표!$E$31:$S$32,'[1]감독 순번'!B6)+COUNTIF([1]감독시간표!$Y$31:$AE$32,'[1]감독 순번'!B6)+COUNTIF([1]감독시간표!$W$34:$AE$35,'[1]감독 순번'!B6)+COUNTIF([1]감독시간표!$E$37:$S$38,'[1]감독 순번'!B6)+COUNTIF([1]감독시간표!$Y$37:$AE$38,'[1]감독 순번'!B6)+COUNTIF([1]감독시간표!$E$43:$S$44,'[1]감독 순번'!B6)+COUNTIF([1]감독시간표!$Y$43:$AE$44,'[1]감독 순번'!B6)+COUNTIF([1]감독시간표!$X$46,'[1]감독 순번'!B6)+COUNTIF([1]감독시간표!$AG$46,'[1]감독 순번'!B6)</f>
        <v>#VALUE!</v>
      </c>
      <c r="G6" s="178" t="e">
        <f t="shared" ref="G6:G58" si="0">SUM(D6:F6)</f>
        <v>#VALUE!</v>
      </c>
      <c r="H6" s="179"/>
      <c r="I6" s="177"/>
      <c r="J6" s="177"/>
      <c r="K6" s="180"/>
      <c r="L6" s="181"/>
      <c r="M6" s="182"/>
      <c r="N6" s="182"/>
      <c r="O6" s="182"/>
      <c r="P6" s="185"/>
      <c r="Q6" s="51"/>
    </row>
    <row r="7" spans="2:20" ht="19.95" customHeight="1">
      <c r="B7" s="184">
        <v>3</v>
      </c>
      <c r="C7" s="176" t="str">
        <f>[1]감독시간표!E54</f>
        <v>이여옥</v>
      </c>
      <c r="D7" s="177" t="e">
        <f>COUNTIF([1]감독시간표!$L$10:$S$10,'[1]감독 순번'!B7)+COUNTIF([1]감독시간표!$Y$10:$AE$10,'[1]감독 순번'!B7)+COUNTIF([1]감독시간표!$E$16:$K$16,'[1]감독 순번'!B7)+COUNTIF([1]감독시간표!$T$16:$V$16,'[1]감독 순번'!B7)+COUNTIF([1]감독시간표!$AI$16,'[1]감독 순번'!B7)+COUNTIF([1]감독시간표!$E$19:$S$19,'[1]감독 순번'!B7)+COUNTIF([1]감독시간표!$Y$19:$AE$19,'[1]감독 순번'!B7)+COUNTIF([1]감독시간표!$E$25:$K$25,'[1]감독 순번'!B7)+COUNTIF([1]감독시간표!$T$25:$V$25,'[1]감독 순번'!B7)+COUNTIF([1]감독시간표!$Y$25:$AA$25,'[1]감독 순번'!B7)+COUNTIF([1]감독시간표!$E$28:$S$28,'[1]감독 순번'!B7)+COUNTIF([1]감독시간표!$AA$28:$AC$28,'[1]감독 순번'!B7)+COUNTIF([1]감독시간표!$AF$28:$AI$28,'[1]감독 순번'!B7)+COUNTIF([1]감독시간표!$E$34:$P$34,'[1]감독 순번'!B7)+COUNTIF([1]감독시간표!$AF$34:$AH$34,'[1]감독 순번'!B7)+COUNTIF([1]감독시간표!$E$40:$S$40,'[1]감독 순번'!B7)+COUNTIF([1]감독시간표!$Y$40:$AE$40,'[1]감독 순번'!B7)+COUNTIF([1]감독시간표!$E$46:$Q$46,'[1]감독 순번'!B7)+COUNTIF([1]감독시간표!$Y$46:$AC$46,'[1]감독 순번'!B7)</f>
        <v>#VALUE!</v>
      </c>
      <c r="E7" s="177" t="e">
        <f>COUNTIF([1]감독시간표!$L$11:$S$11,'[1]감독 순번'!B7)+COUNTIF([1]감독시간표!$Y$11:$AE$11,'[1]감독 순번'!B7)+COUNTIF([1]감독시간표!$E$17:$K$17,'[1]감독 순번'!B7)+COUNTIF([1]감독시간표!$T$17:$V$17,'[1]감독 순번'!B7)+COUNTIF([1]감독시간표!$AI$17,'[1]감독 순번'!B7)+COUNTIF([1]감독시간표!$E$20:$S$20,'[1]감독 순번'!B7)+COUNTIF([1]감독시간표!$Y$20:$AE$20,'[1]감독 순번'!B7)+COUNTIF([1]감독시간표!$E$26:$K$26,'[1]감독 순번'!B7)+COUNTIF([1]감독시간표!$T$26:$V$26,'[1]감독 순번'!B7)+COUNTIF([1]감독시간표!$Y$26:$AA$26,'[1]감독 순번'!B7)+COUNTIF([1]감독시간표!$E$29:$S$29,'[1]감독 순번'!B7)+COUNTIF([1]감독시간표!$AA$29:$AC$29,'[1]감독 순번'!B7)+COUNTIF([1]감독시간표!$AF$29:$AI$29,'[1]감독 순번'!B7)+COUNTIF([1]감독시간표!$E$35:$P$35,'[1]감독 순번'!B7)+COUNTIF([1]감독시간표!$AF$35:$AH$35,'[1]감독 순번'!B7)+COUNTIF([1]감독시간표!$E$41:$S$41,'[1]감독 순번'!B7)+COUNTIF([1]감독시간표!$Y$41:$AE$41,'[1]감독 순번'!B7)+COUNTIF([1]감독시간표!$E$47:$Q$47,'[1]감독 순번'!B7)+COUNTIF([1]감독시간표!$Y$47:$AC$47,'[1]감독 순번'!B7)</f>
        <v>#VALUE!</v>
      </c>
      <c r="F7" s="177" t="e">
        <f>COUNTIF([1]감독시간표!$E$10:$K$11,'[1]감독 순번'!B7)+COUNTIF([1]감독시간표!$E$13:$S$14,'[1]감독 순번'!B7)+COUNTIF([1]감독시간표!$Y$13:$AE$14,'[1]감독 순번'!B7)+COUNTIF([1]감독시간표!$L$16:$S$17,'[1]감독 순번'!B7)+COUNTIF([1]감독시간표!$Y$16:$AE$17,'[1]감독 순번'!B7)+COUNTIF([1]감독시간표!$E$22:$S$23,'[1]감독 순번'!B7)+COUNTIF([1]감독시간표!$Y$22:$AE$23,'[1]감독 순번'!B7)+COUNTIF([1]감독시간표!$L$25:$S$26,'[1]감독 순번'!B7)+COUNTIF([1]감독시간표!$AJ$25:$AK$26,'[1]감독 순번'!B7)+COUNTIF([1]감독시간표!$E$31:$S$32,'[1]감독 순번'!B7)+COUNTIF([1]감독시간표!$Y$31:$AE$32,'[1]감독 순번'!B7)+COUNTIF([1]감독시간표!$W$34:$AE$35,'[1]감독 순번'!B7)+COUNTIF([1]감독시간표!$E$37:$S$38,'[1]감독 순번'!B7)+COUNTIF([1]감독시간표!$Y$37:$AE$38,'[1]감독 순번'!B7)+COUNTIF([1]감독시간표!$E$43:$S$44,'[1]감독 순번'!B7)+COUNTIF([1]감독시간표!$Y$43:$AE$44,'[1]감독 순번'!B7)+COUNTIF([1]감독시간표!$X$46,'[1]감독 순번'!B7)+COUNTIF([1]감독시간표!$AG$46,'[1]감독 순번'!B7)</f>
        <v>#VALUE!</v>
      </c>
      <c r="G7" s="178" t="e">
        <f t="shared" si="0"/>
        <v>#VALUE!</v>
      </c>
      <c r="H7" s="179"/>
      <c r="I7" s="177"/>
      <c r="J7" s="177"/>
      <c r="K7" s="180"/>
      <c r="L7" s="181"/>
      <c r="M7" s="182"/>
      <c r="N7" s="182"/>
      <c r="O7" s="182"/>
      <c r="P7" s="185"/>
      <c r="Q7" s="51"/>
    </row>
    <row r="8" spans="2:20" ht="19.95" customHeight="1">
      <c r="B8" s="184">
        <v>4</v>
      </c>
      <c r="C8" s="176" t="str">
        <f>[1]감독시간표!E55</f>
        <v>류길수</v>
      </c>
      <c r="D8" s="177" t="e">
        <f>COUNTIF([1]감독시간표!$L$10:$S$10,'[1]감독 순번'!B8)+COUNTIF([1]감독시간표!$Y$10:$AE$10,'[1]감독 순번'!B8)+COUNTIF([1]감독시간표!$E$16:$K$16,'[1]감독 순번'!B8)+COUNTIF([1]감독시간표!$T$16:$V$16,'[1]감독 순번'!B8)+COUNTIF([1]감독시간표!$AI$16,'[1]감독 순번'!B8)+COUNTIF([1]감독시간표!$E$19:$S$19,'[1]감독 순번'!B8)+COUNTIF([1]감독시간표!$Y$19:$AE$19,'[1]감독 순번'!B8)+COUNTIF([1]감독시간표!$E$25:$K$25,'[1]감독 순번'!B8)+COUNTIF([1]감독시간표!$T$25:$V$25,'[1]감독 순번'!B8)+COUNTIF([1]감독시간표!$Y$25:$AA$25,'[1]감독 순번'!B8)+COUNTIF([1]감독시간표!$E$28:$S$28,'[1]감독 순번'!B8)+COUNTIF([1]감독시간표!$AA$28:$AC$28,'[1]감독 순번'!B8)+COUNTIF([1]감독시간표!$AF$28:$AI$28,'[1]감독 순번'!B8)+COUNTIF([1]감독시간표!$E$34:$P$34,'[1]감독 순번'!B8)+COUNTIF([1]감독시간표!$AF$34:$AH$34,'[1]감독 순번'!B8)+COUNTIF([1]감독시간표!$E$40:$S$40,'[1]감독 순번'!B8)+COUNTIF([1]감독시간표!$Y$40:$AE$40,'[1]감독 순번'!B8)+COUNTIF([1]감독시간표!$E$46:$Q$46,'[1]감독 순번'!B8)+COUNTIF([1]감독시간표!$Y$46:$AC$46,'[1]감독 순번'!B8)</f>
        <v>#VALUE!</v>
      </c>
      <c r="E8" s="177" t="e">
        <f>COUNTIF([1]감독시간표!$L$11:$S$11,'[1]감독 순번'!B8)+COUNTIF([1]감독시간표!$Y$11:$AE$11,'[1]감독 순번'!B8)+COUNTIF([1]감독시간표!$E$17:$K$17,'[1]감독 순번'!B8)+COUNTIF([1]감독시간표!$T$17:$V$17,'[1]감독 순번'!B8)+COUNTIF([1]감독시간표!$AI$17,'[1]감독 순번'!B8)+COUNTIF([1]감독시간표!$E$20:$S$20,'[1]감독 순번'!B8)+COUNTIF([1]감독시간표!$Y$20:$AE$20,'[1]감독 순번'!B8)+COUNTIF([1]감독시간표!$E$26:$K$26,'[1]감독 순번'!B8)+COUNTIF([1]감독시간표!$T$26:$V$26,'[1]감독 순번'!B8)+COUNTIF([1]감독시간표!$Y$26:$AA$26,'[1]감독 순번'!B8)+COUNTIF([1]감독시간표!$E$29:$S$29,'[1]감독 순번'!B8)+COUNTIF([1]감독시간표!$AA$29:$AC$29,'[1]감독 순번'!B8)+COUNTIF([1]감독시간표!$AF$29:$AI$29,'[1]감독 순번'!B8)+COUNTIF([1]감독시간표!$E$35:$P$35,'[1]감독 순번'!B8)+COUNTIF([1]감독시간표!$AF$35:$AH$35,'[1]감독 순번'!B8)+COUNTIF([1]감독시간표!$E$41:$S$41,'[1]감독 순번'!B8)+COUNTIF([1]감독시간표!$Y$41:$AE$41,'[1]감독 순번'!B8)+COUNTIF([1]감독시간표!$E$47:$Q$47,'[1]감독 순번'!B8)+COUNTIF([1]감독시간표!$Y$47:$AC$47,'[1]감독 순번'!B8)</f>
        <v>#VALUE!</v>
      </c>
      <c r="F8" s="177" t="e">
        <f>COUNTIF([1]감독시간표!$E$10:$K$11,'[1]감독 순번'!B8)+COUNTIF([1]감독시간표!$E$13:$S$14,'[1]감독 순번'!B8)+COUNTIF([1]감독시간표!$Y$13:$AE$14,'[1]감독 순번'!B8)+COUNTIF([1]감독시간표!$L$16:$S$17,'[1]감독 순번'!B8)+COUNTIF([1]감독시간표!$Y$16:$AE$17,'[1]감독 순번'!B8)+COUNTIF([1]감독시간표!$E$22:$S$23,'[1]감독 순번'!B8)+COUNTIF([1]감독시간표!$Y$22:$AE$23,'[1]감독 순번'!B8)+COUNTIF([1]감독시간표!$L$25:$S$26,'[1]감독 순번'!B8)+COUNTIF([1]감독시간표!$AJ$25:$AK$26,'[1]감독 순번'!B8)+COUNTIF([1]감독시간표!$E$31:$S$32,'[1]감독 순번'!B8)+COUNTIF([1]감독시간표!$Y$31:$AE$32,'[1]감독 순번'!B8)+COUNTIF([1]감독시간표!$W$34:$AE$35,'[1]감독 순번'!B8)+COUNTIF([1]감독시간표!$E$37:$S$38,'[1]감독 순번'!B8)+COUNTIF([1]감독시간표!$Y$37:$AE$38,'[1]감독 순번'!B8)+COUNTIF([1]감독시간표!$E$43:$S$44,'[1]감독 순번'!B8)+COUNTIF([1]감독시간표!$Y$43:$AE$44,'[1]감독 순번'!B8)+COUNTIF([1]감독시간표!$X$46,'[1]감독 순번'!B8)+COUNTIF([1]감독시간표!$AG$46,'[1]감독 순번'!B8)</f>
        <v>#VALUE!</v>
      </c>
      <c r="G8" s="178" t="e">
        <f t="shared" si="0"/>
        <v>#VALUE!</v>
      </c>
      <c r="H8" s="179"/>
      <c r="I8" s="177"/>
      <c r="J8" s="177"/>
      <c r="K8" s="180"/>
      <c r="L8" s="181"/>
      <c r="M8" s="182"/>
      <c r="N8" s="182"/>
      <c r="O8" s="182"/>
      <c r="P8" s="185"/>
      <c r="Q8" s="51" t="s">
        <v>2289</v>
      </c>
    </row>
    <row r="9" spans="2:20" ht="19.95" customHeight="1">
      <c r="B9" s="184">
        <v>5</v>
      </c>
      <c r="C9" s="176" t="str">
        <f>[1]감독시간표!E56</f>
        <v>박진성</v>
      </c>
      <c r="D9" s="177" t="e">
        <f>COUNTIF([1]감독시간표!$L$10:$S$10,'[1]감독 순번'!B9)+COUNTIF([1]감독시간표!$Y$10:$AE$10,'[1]감독 순번'!B9)+COUNTIF([1]감독시간표!$E$16:$K$16,'[1]감독 순번'!B9)+COUNTIF([1]감독시간표!$T$16:$V$16,'[1]감독 순번'!B9)+COUNTIF([1]감독시간표!$AI$16,'[1]감독 순번'!B9)+COUNTIF([1]감독시간표!$E$19:$S$19,'[1]감독 순번'!B9)+COUNTIF([1]감독시간표!$Y$19:$AE$19,'[1]감독 순번'!B9)+COUNTIF([1]감독시간표!$E$25:$K$25,'[1]감독 순번'!B9)+COUNTIF([1]감독시간표!$T$25:$V$25,'[1]감독 순번'!B9)+COUNTIF([1]감독시간표!$Y$25:$AA$25,'[1]감독 순번'!B9)+COUNTIF([1]감독시간표!$E$28:$S$28,'[1]감독 순번'!B9)+COUNTIF([1]감독시간표!$AA$28:$AC$28,'[1]감독 순번'!B9)+COUNTIF([1]감독시간표!$AF$28:$AI$28,'[1]감독 순번'!B9)+COUNTIF([1]감독시간표!$E$34:$P$34,'[1]감독 순번'!B9)+COUNTIF([1]감독시간표!$AF$34:$AH$34,'[1]감독 순번'!B9)+COUNTIF([1]감독시간표!$E$40:$S$40,'[1]감독 순번'!B9)+COUNTIF([1]감독시간표!$Y$40:$AE$40,'[1]감독 순번'!B9)+COUNTIF([1]감독시간표!$E$46:$Q$46,'[1]감독 순번'!B9)+COUNTIF([1]감독시간표!$Y$46:$AC$46,'[1]감독 순번'!B9)</f>
        <v>#VALUE!</v>
      </c>
      <c r="E9" s="177" t="e">
        <f>COUNTIF([1]감독시간표!$L$11:$S$11,'[1]감독 순번'!B9)+COUNTIF([1]감독시간표!$Y$11:$AE$11,'[1]감독 순번'!B9)+COUNTIF([1]감독시간표!$E$17:$K$17,'[1]감독 순번'!B9)+COUNTIF([1]감독시간표!$T$17:$V$17,'[1]감독 순번'!B9)+COUNTIF([1]감독시간표!$AI$17,'[1]감독 순번'!B9)+COUNTIF([1]감독시간표!$E$20:$S$20,'[1]감독 순번'!B9)+COUNTIF([1]감독시간표!$Y$20:$AE$20,'[1]감독 순번'!B9)+COUNTIF([1]감독시간표!$E$26:$K$26,'[1]감독 순번'!B9)+COUNTIF([1]감독시간표!$T$26:$V$26,'[1]감독 순번'!B9)+COUNTIF([1]감독시간표!$Y$26:$AA$26,'[1]감독 순번'!B9)+COUNTIF([1]감독시간표!$E$29:$S$29,'[1]감독 순번'!B9)+COUNTIF([1]감독시간표!$AA$29:$AC$29,'[1]감독 순번'!B9)+COUNTIF([1]감독시간표!$AF$29:$AI$29,'[1]감독 순번'!B9)+COUNTIF([1]감독시간표!$E$35:$P$35,'[1]감독 순번'!B9)+COUNTIF([1]감독시간표!$AF$35:$AH$35,'[1]감독 순번'!B9)+COUNTIF([1]감독시간표!$E$41:$S$41,'[1]감독 순번'!B9)+COUNTIF([1]감독시간표!$Y$41:$AE$41,'[1]감독 순번'!B9)+COUNTIF([1]감독시간표!$E$47:$Q$47,'[1]감독 순번'!B9)+COUNTIF([1]감독시간표!$Y$47:$AC$47,'[1]감독 순번'!B9)</f>
        <v>#VALUE!</v>
      </c>
      <c r="F9" s="177" t="e">
        <f>COUNTIF([1]감독시간표!$E$10:$K$11,'[1]감독 순번'!B9)+COUNTIF([1]감독시간표!$E$13:$S$14,'[1]감독 순번'!B9)+COUNTIF([1]감독시간표!$Y$13:$AE$14,'[1]감독 순번'!B9)+COUNTIF([1]감독시간표!$L$16:$S$17,'[1]감독 순번'!B9)+COUNTIF([1]감독시간표!$Y$16:$AE$17,'[1]감독 순번'!B9)+COUNTIF([1]감독시간표!$E$22:$S$23,'[1]감독 순번'!B9)+COUNTIF([1]감독시간표!$Y$22:$AE$23,'[1]감독 순번'!B9)+COUNTIF([1]감독시간표!$L$25:$S$26,'[1]감독 순번'!B9)+COUNTIF([1]감독시간표!$AJ$25:$AK$26,'[1]감독 순번'!B9)+COUNTIF([1]감독시간표!$E$31:$S$32,'[1]감독 순번'!B9)+COUNTIF([1]감독시간표!$Y$31:$AE$32,'[1]감독 순번'!B9)+COUNTIF([1]감독시간표!$W$34:$AE$35,'[1]감독 순번'!B9)+COUNTIF([1]감독시간표!$E$37:$S$38,'[1]감독 순번'!B9)+COUNTIF([1]감독시간표!$Y$37:$AE$38,'[1]감독 순번'!B9)+COUNTIF([1]감독시간표!$E$43:$S$44,'[1]감독 순번'!B9)+COUNTIF([1]감독시간표!$Y$43:$AE$44,'[1]감독 순번'!B9)+COUNTIF([1]감독시간표!$X$46,'[1]감독 순번'!B9)+COUNTIF([1]감독시간표!$AG$46,'[1]감독 순번'!B9)</f>
        <v>#VALUE!</v>
      </c>
      <c r="G9" s="178" t="e">
        <f t="shared" si="0"/>
        <v>#VALUE!</v>
      </c>
      <c r="H9" s="179"/>
      <c r="I9" s="177"/>
      <c r="J9" s="177"/>
      <c r="K9" s="180"/>
      <c r="L9" s="181"/>
      <c r="M9" s="182"/>
      <c r="N9" s="182"/>
      <c r="O9" s="182"/>
      <c r="P9" s="186"/>
      <c r="Q9" s="51"/>
    </row>
    <row r="10" spans="2:20" ht="19.95" customHeight="1">
      <c r="B10" s="184">
        <v>6</v>
      </c>
      <c r="C10" s="176" t="str">
        <f>[1]감독시간표!E57</f>
        <v>최병선</v>
      </c>
      <c r="D10" s="177" t="e">
        <f>COUNTIF([1]감독시간표!$L$10:$S$10,'[1]감독 순번'!B10)+COUNTIF([1]감독시간표!$Y$10:$AE$10,'[1]감독 순번'!B10)+COUNTIF([1]감독시간표!$E$16:$K$16,'[1]감독 순번'!B10)+COUNTIF([1]감독시간표!$T$16:$V$16,'[1]감독 순번'!B10)+COUNTIF([1]감독시간표!$AI$16,'[1]감독 순번'!B10)+COUNTIF([1]감독시간표!$E$19:$S$19,'[1]감독 순번'!B10)+COUNTIF([1]감독시간표!$Y$19:$AE$19,'[1]감독 순번'!B10)+COUNTIF([1]감독시간표!$E$25:$K$25,'[1]감독 순번'!B10)+COUNTIF([1]감독시간표!$T$25:$V$25,'[1]감독 순번'!B10)+COUNTIF([1]감독시간표!$Y$25:$AA$25,'[1]감독 순번'!B10)+COUNTIF([1]감독시간표!$E$28:$S$28,'[1]감독 순번'!B10)+COUNTIF([1]감독시간표!$AA$28:$AC$28,'[1]감독 순번'!B10)+COUNTIF([1]감독시간표!$AF$28:$AI$28,'[1]감독 순번'!B10)+COUNTIF([1]감독시간표!$E$34:$P$34,'[1]감독 순번'!B10)+COUNTIF([1]감독시간표!$AF$34:$AH$34,'[1]감독 순번'!B10)+COUNTIF([1]감독시간표!$E$40:$S$40,'[1]감독 순번'!B10)+COUNTIF([1]감독시간표!$Y$40:$AE$40,'[1]감독 순번'!B10)+COUNTIF([1]감독시간표!$E$46:$Q$46,'[1]감독 순번'!B10)+COUNTIF([1]감독시간표!$Y$46:$AC$46,'[1]감독 순번'!B10)</f>
        <v>#VALUE!</v>
      </c>
      <c r="E10" s="177" t="e">
        <f>COUNTIF([1]감독시간표!$L$11:$S$11,'[1]감독 순번'!B10)+COUNTIF([1]감독시간표!$Y$11:$AE$11,'[1]감독 순번'!B10)+COUNTIF([1]감독시간표!$E$17:$K$17,'[1]감독 순번'!B10)+COUNTIF([1]감독시간표!$T$17:$V$17,'[1]감독 순번'!B10)+COUNTIF([1]감독시간표!$AI$17,'[1]감독 순번'!B10)+COUNTIF([1]감독시간표!$E$20:$S$20,'[1]감독 순번'!B10)+COUNTIF([1]감독시간표!$Y$20:$AE$20,'[1]감독 순번'!B10)+COUNTIF([1]감독시간표!$E$26:$K$26,'[1]감독 순번'!B10)+COUNTIF([1]감독시간표!$T$26:$V$26,'[1]감독 순번'!B10)+COUNTIF([1]감독시간표!$Y$26:$AA$26,'[1]감독 순번'!B10)+COUNTIF([1]감독시간표!$E$29:$S$29,'[1]감독 순번'!B10)+COUNTIF([1]감독시간표!$AA$29:$AC$29,'[1]감독 순번'!B10)+COUNTIF([1]감독시간표!$AF$29:$AI$29,'[1]감독 순번'!B10)+COUNTIF([1]감독시간표!$E$35:$P$35,'[1]감독 순번'!B10)+COUNTIF([1]감독시간표!$AF$35:$AH$35,'[1]감독 순번'!B10)+COUNTIF([1]감독시간표!$E$41:$S$41,'[1]감독 순번'!B10)+COUNTIF([1]감독시간표!$Y$41:$AE$41,'[1]감독 순번'!B10)+COUNTIF([1]감독시간표!$E$47:$Q$47,'[1]감독 순번'!B10)+COUNTIF([1]감독시간표!$Y$47:$AC$47,'[1]감독 순번'!B10)</f>
        <v>#VALUE!</v>
      </c>
      <c r="F10" s="177" t="e">
        <f>COUNTIF([1]감독시간표!$E$10:$K$11,'[1]감독 순번'!B10)+COUNTIF([1]감독시간표!$E$13:$S$14,'[1]감독 순번'!B10)+COUNTIF([1]감독시간표!$Y$13:$AE$14,'[1]감독 순번'!B10)+COUNTIF([1]감독시간표!$L$16:$S$17,'[1]감독 순번'!B10)+COUNTIF([1]감독시간표!$Y$16:$AE$17,'[1]감독 순번'!B10)+COUNTIF([1]감독시간표!$E$22:$S$23,'[1]감독 순번'!B10)+COUNTIF([1]감독시간표!$Y$22:$AE$23,'[1]감독 순번'!B10)+COUNTIF([1]감독시간표!$L$25:$S$26,'[1]감독 순번'!B10)+COUNTIF([1]감독시간표!$AJ$25:$AK$26,'[1]감독 순번'!B10)+COUNTIF([1]감독시간표!$E$31:$S$32,'[1]감독 순번'!B10)+COUNTIF([1]감독시간표!$Y$31:$AE$32,'[1]감독 순번'!B10)+COUNTIF([1]감독시간표!$W$34:$AE$35,'[1]감독 순번'!B10)+COUNTIF([1]감독시간표!$E$37:$S$38,'[1]감독 순번'!B10)+COUNTIF([1]감독시간표!$Y$37:$AE$38,'[1]감독 순번'!B10)+COUNTIF([1]감독시간표!$E$43:$S$44,'[1]감독 순번'!B10)+COUNTIF([1]감독시간표!$Y$43:$AE$44,'[1]감독 순번'!B10)+COUNTIF([1]감독시간표!$X$46,'[1]감독 순번'!B10)+COUNTIF([1]감독시간표!$AG$46,'[1]감독 순번'!B10)</f>
        <v>#VALUE!</v>
      </c>
      <c r="G10" s="178" t="e">
        <f t="shared" si="0"/>
        <v>#VALUE!</v>
      </c>
      <c r="H10" s="179"/>
      <c r="I10" s="177"/>
      <c r="J10" s="177"/>
      <c r="K10" s="180"/>
      <c r="L10" s="181"/>
      <c r="M10" s="182"/>
      <c r="N10" s="182"/>
      <c r="O10" s="182"/>
      <c r="P10" s="185"/>
      <c r="Q10" s="51"/>
    </row>
    <row r="11" spans="2:20" ht="19.95" customHeight="1">
      <c r="B11" s="184">
        <v>7</v>
      </c>
      <c r="C11" s="176" t="str">
        <f>[1]감독시간표!E58</f>
        <v>유미</v>
      </c>
      <c r="D11" s="177" t="e">
        <f>COUNTIF([1]감독시간표!$L$10:$S$10,'[1]감독 순번'!B11)+COUNTIF([1]감독시간표!$Y$10:$AE$10,'[1]감독 순번'!B11)+COUNTIF([1]감독시간표!$E$16:$K$16,'[1]감독 순번'!B11)+COUNTIF([1]감독시간표!$T$16:$V$16,'[1]감독 순번'!B11)+COUNTIF([1]감독시간표!$AI$16,'[1]감독 순번'!B11)+COUNTIF([1]감독시간표!$E$19:$S$19,'[1]감독 순번'!B11)+COUNTIF([1]감독시간표!$Y$19:$AE$19,'[1]감독 순번'!B11)+COUNTIF([1]감독시간표!$E$25:$K$25,'[1]감독 순번'!B11)+COUNTIF([1]감독시간표!$T$25:$V$25,'[1]감독 순번'!B11)+COUNTIF([1]감독시간표!$Y$25:$AA$25,'[1]감독 순번'!B11)+COUNTIF([1]감독시간표!$E$28:$S$28,'[1]감독 순번'!B11)+COUNTIF([1]감독시간표!$AA$28:$AC$28,'[1]감독 순번'!B11)+COUNTIF([1]감독시간표!$AF$28:$AI$28,'[1]감독 순번'!B11)+COUNTIF([1]감독시간표!$E$34:$P$34,'[1]감독 순번'!B11)+COUNTIF([1]감독시간표!$AF$34:$AH$34,'[1]감독 순번'!B11)+COUNTIF([1]감독시간표!$E$40:$S$40,'[1]감독 순번'!B11)+COUNTIF([1]감독시간표!$Y$40:$AE$40,'[1]감독 순번'!B11)+COUNTIF([1]감독시간표!$E$46:$Q$46,'[1]감독 순번'!B11)+COUNTIF([1]감독시간표!$Y$46:$AC$46,'[1]감독 순번'!B11)</f>
        <v>#VALUE!</v>
      </c>
      <c r="E11" s="177" t="e">
        <f>COUNTIF([1]감독시간표!$L$11:$S$11,'[1]감독 순번'!B11)+COUNTIF([1]감독시간표!$Y$11:$AE$11,'[1]감독 순번'!B11)+COUNTIF([1]감독시간표!$E$17:$K$17,'[1]감독 순번'!B11)+COUNTIF([1]감독시간표!$T$17:$V$17,'[1]감독 순번'!B11)+COUNTIF([1]감독시간표!$AI$17,'[1]감독 순번'!B11)+COUNTIF([1]감독시간표!$E$20:$S$20,'[1]감독 순번'!B11)+COUNTIF([1]감독시간표!$Y$20:$AE$20,'[1]감독 순번'!B11)+COUNTIF([1]감독시간표!$E$26:$K$26,'[1]감독 순번'!B11)+COUNTIF([1]감독시간표!$T$26:$V$26,'[1]감독 순번'!B11)+COUNTIF([1]감독시간표!$Y$26:$AA$26,'[1]감독 순번'!B11)+COUNTIF([1]감독시간표!$E$29:$S$29,'[1]감독 순번'!B11)+COUNTIF([1]감독시간표!$AA$29:$AC$29,'[1]감독 순번'!B11)+COUNTIF([1]감독시간표!$AF$29:$AI$29,'[1]감독 순번'!B11)+COUNTIF([1]감독시간표!$E$35:$P$35,'[1]감독 순번'!B11)+COUNTIF([1]감독시간표!$AF$35:$AH$35,'[1]감독 순번'!B11)+COUNTIF([1]감독시간표!$E$41:$S$41,'[1]감독 순번'!B11)+COUNTIF([1]감독시간표!$Y$41:$AE$41,'[1]감독 순번'!B11)+COUNTIF([1]감독시간표!$E$47:$Q$47,'[1]감독 순번'!B11)+COUNTIF([1]감독시간표!$Y$47:$AC$47,'[1]감독 순번'!B11)</f>
        <v>#VALUE!</v>
      </c>
      <c r="F11" s="177" t="e">
        <f>COUNTIF([1]감독시간표!$E$10:$K$11,'[1]감독 순번'!B11)+COUNTIF([1]감독시간표!$E$13:$S$14,'[1]감독 순번'!B11)+COUNTIF([1]감독시간표!$Y$13:$AE$14,'[1]감독 순번'!B11)+COUNTIF([1]감독시간표!$L$16:$S$17,'[1]감독 순번'!B11)+COUNTIF([1]감독시간표!$Y$16:$AE$17,'[1]감독 순번'!B11)+COUNTIF([1]감독시간표!$E$22:$S$23,'[1]감독 순번'!B11)+COUNTIF([1]감독시간표!$Y$22:$AE$23,'[1]감독 순번'!B11)+COUNTIF([1]감독시간표!$L$25:$S$26,'[1]감독 순번'!B11)+COUNTIF([1]감독시간표!$AJ$25:$AK$26,'[1]감독 순번'!B11)+COUNTIF([1]감독시간표!$E$31:$S$32,'[1]감독 순번'!B11)+COUNTIF([1]감독시간표!$Y$31:$AE$32,'[1]감독 순번'!B11)+COUNTIF([1]감독시간표!$W$34:$AE$35,'[1]감독 순번'!B11)+COUNTIF([1]감독시간표!$E$37:$S$38,'[1]감독 순번'!B11)+COUNTIF([1]감독시간표!$Y$37:$AE$38,'[1]감독 순번'!B11)+COUNTIF([1]감독시간표!$E$43:$S$44,'[1]감독 순번'!B11)+COUNTIF([1]감독시간표!$Y$43:$AE$44,'[1]감독 순번'!B11)+COUNTIF([1]감독시간표!$X$46,'[1]감독 순번'!B11)+COUNTIF([1]감독시간표!$AG$46,'[1]감독 순번'!B11)</f>
        <v>#VALUE!</v>
      </c>
      <c r="G11" s="178" t="e">
        <f t="shared" si="0"/>
        <v>#VALUE!</v>
      </c>
      <c r="H11" s="179"/>
      <c r="I11" s="177"/>
      <c r="J11" s="177"/>
      <c r="K11" s="180"/>
      <c r="L11" s="181"/>
      <c r="M11" s="182"/>
      <c r="N11" s="182"/>
      <c r="O11" s="182"/>
      <c r="P11" s="185"/>
      <c r="Q11" s="51"/>
      <c r="T11" s="166" t="s">
        <v>2290</v>
      </c>
    </row>
    <row r="12" spans="2:20" ht="19.95" customHeight="1">
      <c r="B12" s="184">
        <v>8</v>
      </c>
      <c r="C12" s="176" t="str">
        <f>[1]감독시간표!E59</f>
        <v>양향숙</v>
      </c>
      <c r="D12" s="177" t="e">
        <f>COUNTIF([1]감독시간표!$L$10:$S$10,'[1]감독 순번'!B12)+COUNTIF([1]감독시간표!$Y$10:$AE$10,'[1]감독 순번'!B12)+COUNTIF([1]감독시간표!$E$16:$K$16,'[1]감독 순번'!B12)+COUNTIF([1]감독시간표!$T$16:$V$16,'[1]감독 순번'!B12)+COUNTIF([1]감독시간표!$AI$16,'[1]감독 순번'!B12)+COUNTIF([1]감독시간표!$E$19:$S$19,'[1]감독 순번'!B12)+COUNTIF([1]감독시간표!$Y$19:$AE$19,'[1]감독 순번'!B12)+COUNTIF([1]감독시간표!$E$25:$K$25,'[1]감독 순번'!B12)+COUNTIF([1]감독시간표!$T$25:$V$25,'[1]감독 순번'!B12)+COUNTIF([1]감독시간표!$Y$25:$AA$25,'[1]감독 순번'!B12)+COUNTIF([1]감독시간표!$E$28:$S$28,'[1]감독 순번'!B12)+COUNTIF([1]감독시간표!$AA$28:$AC$28,'[1]감독 순번'!B12)+COUNTIF([1]감독시간표!$AF$28:$AI$28,'[1]감독 순번'!B12)+COUNTIF([1]감독시간표!$E$34:$P$34,'[1]감독 순번'!B12)+COUNTIF([1]감독시간표!$AF$34:$AH$34,'[1]감독 순번'!B12)+COUNTIF([1]감독시간표!$E$40:$S$40,'[1]감독 순번'!B12)+COUNTIF([1]감독시간표!$Y$40:$AE$40,'[1]감독 순번'!B12)+COUNTIF([1]감독시간표!$E$46:$Q$46,'[1]감독 순번'!B12)+COUNTIF([1]감독시간표!$Y$46:$AC$46,'[1]감독 순번'!B12)</f>
        <v>#VALUE!</v>
      </c>
      <c r="E12" s="177" t="e">
        <f>COUNTIF([1]감독시간표!$L$11:$S$11,'[1]감독 순번'!B12)+COUNTIF([1]감독시간표!$Y$11:$AE$11,'[1]감독 순번'!B12)+COUNTIF([1]감독시간표!$E$17:$K$17,'[1]감독 순번'!B12)+COUNTIF([1]감독시간표!$T$17:$V$17,'[1]감독 순번'!B12)+COUNTIF([1]감독시간표!$AI$17,'[1]감독 순번'!B12)+COUNTIF([1]감독시간표!$E$20:$S$20,'[1]감독 순번'!B12)+COUNTIF([1]감독시간표!$Y$20:$AE$20,'[1]감독 순번'!B12)+COUNTIF([1]감독시간표!$E$26:$K$26,'[1]감독 순번'!B12)+COUNTIF([1]감독시간표!$T$26:$V$26,'[1]감독 순번'!B12)+COUNTIF([1]감독시간표!$Y$26:$AA$26,'[1]감독 순번'!B12)+COUNTIF([1]감독시간표!$E$29:$S$29,'[1]감독 순번'!B12)+COUNTIF([1]감독시간표!$AA$29:$AC$29,'[1]감독 순번'!B12)+COUNTIF([1]감독시간표!$AF$29:$AI$29,'[1]감독 순번'!B12)+COUNTIF([1]감독시간표!$E$35:$P$35,'[1]감독 순번'!B12)+COUNTIF([1]감독시간표!$AF$35:$AH$35,'[1]감독 순번'!B12)+COUNTIF([1]감독시간표!$E$41:$S$41,'[1]감독 순번'!B12)+COUNTIF([1]감독시간표!$Y$41:$AE$41,'[1]감독 순번'!B12)+COUNTIF([1]감독시간표!$E$47:$Q$47,'[1]감독 순번'!B12)+COUNTIF([1]감독시간표!$Y$47:$AC$47,'[1]감독 순번'!B12)</f>
        <v>#VALUE!</v>
      </c>
      <c r="F12" s="177" t="e">
        <f>COUNTIF([1]감독시간표!$E$10:$K$11,'[1]감독 순번'!B12)+COUNTIF([1]감독시간표!$E$13:$S$14,'[1]감독 순번'!B12)+COUNTIF([1]감독시간표!$Y$13:$AE$14,'[1]감독 순번'!B12)+COUNTIF([1]감독시간표!$L$16:$S$17,'[1]감독 순번'!B12)+COUNTIF([1]감독시간표!$Y$16:$AE$17,'[1]감독 순번'!B12)+COUNTIF([1]감독시간표!$E$22:$S$23,'[1]감독 순번'!B12)+COUNTIF([1]감독시간표!$Y$22:$AE$23,'[1]감독 순번'!B12)+COUNTIF([1]감독시간표!$L$25:$S$26,'[1]감독 순번'!B12)+COUNTIF([1]감독시간표!$AJ$25:$AK$26,'[1]감독 순번'!B12)+COUNTIF([1]감독시간표!$E$31:$S$32,'[1]감독 순번'!B12)+COUNTIF([1]감독시간표!$Y$31:$AE$32,'[1]감독 순번'!B12)+COUNTIF([1]감독시간표!$W$34:$AE$35,'[1]감독 순번'!B12)+COUNTIF([1]감독시간표!$E$37:$S$38,'[1]감독 순번'!B12)+COUNTIF([1]감독시간표!$Y$37:$AE$38,'[1]감독 순번'!B12)+COUNTIF([1]감독시간표!$E$43:$S$44,'[1]감독 순번'!B12)+COUNTIF([1]감독시간표!$Y$43:$AE$44,'[1]감독 순번'!B12)+COUNTIF([1]감독시간표!$X$46,'[1]감독 순번'!B12)+COUNTIF([1]감독시간표!$AG$46,'[1]감독 순번'!B12)</f>
        <v>#VALUE!</v>
      </c>
      <c r="G12" s="178" t="e">
        <f t="shared" si="0"/>
        <v>#VALUE!</v>
      </c>
      <c r="H12" s="179"/>
      <c r="I12" s="177"/>
      <c r="J12" s="177"/>
      <c r="K12" s="180"/>
      <c r="L12" s="181"/>
      <c r="M12" s="182"/>
      <c r="N12" s="182"/>
      <c r="O12" s="182"/>
      <c r="P12" s="185"/>
      <c r="Q12" s="51"/>
    </row>
    <row r="13" spans="2:20" ht="19.95" customHeight="1">
      <c r="B13" s="184">
        <v>9</v>
      </c>
      <c r="C13" s="176" t="str">
        <f>[1]감독시간표!E60</f>
        <v>차용매</v>
      </c>
      <c r="D13" s="177" t="e">
        <f>COUNTIF([1]감독시간표!$L$10:$S$10,'[1]감독 순번'!B13)+COUNTIF([1]감독시간표!$Y$10:$AE$10,'[1]감독 순번'!B13)+COUNTIF([1]감독시간표!$E$16:$K$16,'[1]감독 순번'!B13)+COUNTIF([1]감독시간표!$T$16:$V$16,'[1]감독 순번'!B13)+COUNTIF([1]감독시간표!$AI$16,'[1]감독 순번'!B13)+COUNTIF([1]감독시간표!$E$19:$S$19,'[1]감독 순번'!B13)+COUNTIF([1]감독시간표!$Y$19:$AE$19,'[1]감독 순번'!B13)+COUNTIF([1]감독시간표!$E$25:$K$25,'[1]감독 순번'!B13)+COUNTIF([1]감독시간표!$T$25:$V$25,'[1]감독 순번'!B13)+COUNTIF([1]감독시간표!$Y$25:$AA$25,'[1]감독 순번'!B13)+COUNTIF([1]감독시간표!$E$28:$S$28,'[1]감독 순번'!B13)+COUNTIF([1]감독시간표!$AA$28:$AC$28,'[1]감독 순번'!B13)+COUNTIF([1]감독시간표!$AF$28:$AI$28,'[1]감독 순번'!B13)+COUNTIF([1]감독시간표!$E$34:$P$34,'[1]감독 순번'!B13)+COUNTIF([1]감독시간표!$AF$34:$AH$34,'[1]감독 순번'!B13)+COUNTIF([1]감독시간표!$E$40:$S$40,'[1]감독 순번'!B13)+COUNTIF([1]감독시간표!$Y$40:$AE$40,'[1]감독 순번'!B13)+COUNTIF([1]감독시간표!$E$46:$Q$46,'[1]감독 순번'!B13)+COUNTIF([1]감독시간표!$Y$46:$AC$46,'[1]감독 순번'!B13)</f>
        <v>#VALUE!</v>
      </c>
      <c r="E13" s="177" t="e">
        <f>COUNTIF([1]감독시간표!$L$11:$S$11,'[1]감독 순번'!B13)+COUNTIF([1]감독시간표!$Y$11:$AE$11,'[1]감독 순번'!B13)+COUNTIF([1]감독시간표!$E$17:$K$17,'[1]감독 순번'!B13)+COUNTIF([1]감독시간표!$T$17:$V$17,'[1]감독 순번'!B13)+COUNTIF([1]감독시간표!$AI$17,'[1]감독 순번'!B13)+COUNTIF([1]감독시간표!$E$20:$S$20,'[1]감독 순번'!B13)+COUNTIF([1]감독시간표!$Y$20:$AE$20,'[1]감독 순번'!B13)+COUNTIF([1]감독시간표!$E$26:$K$26,'[1]감독 순번'!B13)+COUNTIF([1]감독시간표!$T$26:$V$26,'[1]감독 순번'!B13)+COUNTIF([1]감독시간표!$Y$26:$AA$26,'[1]감독 순번'!B13)+COUNTIF([1]감독시간표!$E$29:$S$29,'[1]감독 순번'!B13)+COUNTIF([1]감독시간표!$AA$29:$AC$29,'[1]감독 순번'!B13)+COUNTIF([1]감독시간표!$AF$29:$AI$29,'[1]감독 순번'!B13)+COUNTIF([1]감독시간표!$E$35:$P$35,'[1]감독 순번'!B13)+COUNTIF([1]감독시간표!$AF$35:$AH$35,'[1]감독 순번'!B13)+COUNTIF([1]감독시간표!$E$41:$S$41,'[1]감독 순번'!B13)+COUNTIF([1]감독시간표!$Y$41:$AE$41,'[1]감독 순번'!B13)+COUNTIF([1]감독시간표!$E$47:$Q$47,'[1]감독 순번'!B13)+COUNTIF([1]감독시간표!$Y$47:$AC$47,'[1]감독 순번'!B13)</f>
        <v>#VALUE!</v>
      </c>
      <c r="F13" s="177" t="e">
        <f>COUNTIF([1]감독시간표!$E$10:$K$11,'[1]감독 순번'!B13)+COUNTIF([1]감독시간표!$E$13:$S$14,'[1]감독 순번'!B13)+COUNTIF([1]감독시간표!$Y$13:$AE$14,'[1]감독 순번'!B13)+COUNTIF([1]감독시간표!$L$16:$S$17,'[1]감독 순번'!B13)+COUNTIF([1]감독시간표!$Y$16:$AE$17,'[1]감독 순번'!B13)+COUNTIF([1]감독시간표!$E$22:$S$23,'[1]감독 순번'!B13)+COUNTIF([1]감독시간표!$Y$22:$AE$23,'[1]감독 순번'!B13)+COUNTIF([1]감독시간표!$L$25:$S$26,'[1]감독 순번'!B13)+COUNTIF([1]감독시간표!$AJ$25:$AK$26,'[1]감독 순번'!B13)+COUNTIF([1]감독시간표!$E$31:$S$32,'[1]감독 순번'!B13)+COUNTIF([1]감독시간표!$Y$31:$AE$32,'[1]감독 순번'!B13)+COUNTIF([1]감독시간표!$W$34:$AE$35,'[1]감독 순번'!B13)+COUNTIF([1]감독시간표!$E$37:$S$38,'[1]감독 순번'!B13)+COUNTIF([1]감독시간표!$Y$37:$AE$38,'[1]감독 순번'!B13)+COUNTIF([1]감독시간표!$E$43:$S$44,'[1]감독 순번'!B13)+COUNTIF([1]감독시간표!$Y$43:$AE$44,'[1]감독 순번'!B13)+COUNTIF([1]감독시간표!$X$46,'[1]감독 순번'!B13)+COUNTIF([1]감독시간표!$AG$46,'[1]감독 순번'!B13)</f>
        <v>#VALUE!</v>
      </c>
      <c r="G13" s="178" t="e">
        <f t="shared" si="0"/>
        <v>#VALUE!</v>
      </c>
      <c r="H13" s="179"/>
      <c r="I13" s="177"/>
      <c r="J13" s="177"/>
      <c r="K13" s="180"/>
      <c r="L13" s="181"/>
      <c r="M13" s="182"/>
      <c r="N13" s="182"/>
      <c r="O13" s="182"/>
      <c r="P13" s="185"/>
      <c r="Q13" s="51"/>
    </row>
    <row r="14" spans="2:20" ht="19.95" customHeight="1">
      <c r="B14" s="184">
        <v>10</v>
      </c>
      <c r="C14" s="176" t="str">
        <f>[1]감독시간표!E61</f>
        <v>김남희</v>
      </c>
      <c r="D14" s="177" t="e">
        <f>COUNTIF([1]감독시간표!$L$10:$S$10,'[1]감독 순번'!B14)+COUNTIF([1]감독시간표!$Y$10:$AE$10,'[1]감독 순번'!B14)+COUNTIF([1]감독시간표!$E$16:$K$16,'[1]감독 순번'!B14)+COUNTIF([1]감독시간표!$T$16:$V$16,'[1]감독 순번'!B14)+COUNTIF([1]감독시간표!$AI$16,'[1]감독 순번'!B14)+COUNTIF([1]감독시간표!$E$19:$S$19,'[1]감독 순번'!B14)+COUNTIF([1]감독시간표!$Y$19:$AE$19,'[1]감독 순번'!B14)+COUNTIF([1]감독시간표!$E$25:$K$25,'[1]감독 순번'!B14)+COUNTIF([1]감독시간표!$T$25:$V$25,'[1]감독 순번'!B14)+COUNTIF([1]감독시간표!$Y$25:$AA$25,'[1]감독 순번'!B14)+COUNTIF([1]감독시간표!$E$28:$S$28,'[1]감독 순번'!B14)+COUNTIF([1]감독시간표!$AA$28:$AC$28,'[1]감독 순번'!B14)+COUNTIF([1]감독시간표!$AF$28:$AI$28,'[1]감독 순번'!B14)+COUNTIF([1]감독시간표!$E$34:$P$34,'[1]감독 순번'!B14)+COUNTIF([1]감독시간표!$AF$34:$AH$34,'[1]감독 순번'!B14)+COUNTIF([1]감독시간표!$E$40:$S$40,'[1]감독 순번'!B14)+COUNTIF([1]감독시간표!$Y$40:$AE$40,'[1]감독 순번'!B14)+COUNTIF([1]감독시간표!$E$46:$Q$46,'[1]감독 순번'!B14)+COUNTIF([1]감독시간표!$Y$46:$AC$46,'[1]감독 순번'!B14)</f>
        <v>#VALUE!</v>
      </c>
      <c r="E14" s="177" t="e">
        <f>COUNTIF([1]감독시간표!$L$11:$S$11,'[1]감독 순번'!B14)+COUNTIF([1]감독시간표!$Y$11:$AE$11,'[1]감독 순번'!B14)+COUNTIF([1]감독시간표!$E$17:$K$17,'[1]감독 순번'!B14)+COUNTIF([1]감독시간표!$T$17:$V$17,'[1]감독 순번'!B14)+COUNTIF([1]감독시간표!$AI$17,'[1]감독 순번'!B14)+COUNTIF([1]감독시간표!$E$20:$S$20,'[1]감독 순번'!B14)+COUNTIF([1]감독시간표!$Y$20:$AE$20,'[1]감독 순번'!B14)+COUNTIF([1]감독시간표!$E$26:$K$26,'[1]감독 순번'!B14)+COUNTIF([1]감독시간표!$T$26:$V$26,'[1]감독 순번'!B14)+COUNTIF([1]감독시간표!$Y$26:$AA$26,'[1]감독 순번'!B14)+COUNTIF([1]감독시간표!$E$29:$S$29,'[1]감독 순번'!B14)+COUNTIF([1]감독시간표!$AA$29:$AC$29,'[1]감독 순번'!B14)+COUNTIF([1]감독시간표!$AF$29:$AI$29,'[1]감독 순번'!B14)+COUNTIF([1]감독시간표!$E$35:$P$35,'[1]감독 순번'!B14)+COUNTIF([1]감독시간표!$AF$35:$AH$35,'[1]감독 순번'!B14)+COUNTIF([1]감독시간표!$E$41:$S$41,'[1]감독 순번'!B14)+COUNTIF([1]감독시간표!$Y$41:$AE$41,'[1]감독 순번'!B14)+COUNTIF([1]감독시간표!$E$47:$Q$47,'[1]감독 순번'!B14)+COUNTIF([1]감독시간표!$Y$47:$AC$47,'[1]감독 순번'!B14)</f>
        <v>#VALUE!</v>
      </c>
      <c r="F14" s="177" t="e">
        <f>COUNTIF([1]감독시간표!$E$10:$K$11,'[1]감독 순번'!B14)+COUNTIF([1]감독시간표!$E$13:$S$14,'[1]감독 순번'!B14)+COUNTIF([1]감독시간표!$Y$13:$AE$14,'[1]감독 순번'!B14)+COUNTIF([1]감독시간표!$L$16:$S$17,'[1]감독 순번'!B14)+COUNTIF([1]감독시간표!$Y$16:$AE$17,'[1]감독 순번'!B14)+COUNTIF([1]감독시간표!$E$22:$S$23,'[1]감독 순번'!B14)+COUNTIF([1]감독시간표!$Y$22:$AE$23,'[1]감독 순번'!B14)+COUNTIF([1]감독시간표!$L$25:$S$26,'[1]감독 순번'!B14)+COUNTIF([1]감독시간표!$AJ$25:$AK$26,'[1]감독 순번'!B14)+COUNTIF([1]감독시간표!$E$31:$S$32,'[1]감독 순번'!B14)+COUNTIF([1]감독시간표!$Y$31:$AE$32,'[1]감독 순번'!B14)+COUNTIF([1]감독시간표!$W$34:$AE$35,'[1]감독 순번'!B14)+COUNTIF([1]감독시간표!$E$37:$S$38,'[1]감독 순번'!B14)+COUNTIF([1]감독시간표!$Y$37:$AE$38,'[1]감독 순번'!B14)+COUNTIF([1]감독시간표!$E$43:$S$44,'[1]감독 순번'!B14)+COUNTIF([1]감독시간표!$Y$43:$AE$44,'[1]감독 순번'!B14)+COUNTIF([1]감독시간표!$X$46,'[1]감독 순번'!B14)+COUNTIF([1]감독시간표!$AG$46,'[1]감독 순번'!B14)</f>
        <v>#VALUE!</v>
      </c>
      <c r="G14" s="178" t="e">
        <f t="shared" si="0"/>
        <v>#VALUE!</v>
      </c>
      <c r="H14" s="179"/>
      <c r="I14" s="177"/>
      <c r="J14" s="177"/>
      <c r="K14" s="180"/>
      <c r="L14" s="181"/>
      <c r="M14" s="182"/>
      <c r="N14" s="182"/>
      <c r="O14" s="182"/>
      <c r="P14" s="185"/>
      <c r="Q14" s="51"/>
    </row>
    <row r="15" spans="2:20" ht="19.95" customHeight="1">
      <c r="B15" s="184">
        <v>11</v>
      </c>
      <c r="C15" s="187" t="str">
        <f>[1]감독시간표!I52</f>
        <v>김윤정</v>
      </c>
      <c r="D15" s="177" t="e">
        <f>COUNTIF([1]감독시간표!$L$10:$S$10,'[1]감독 순번'!B15)+COUNTIF([1]감독시간표!$Y$10:$AE$10,'[1]감독 순번'!B15)+COUNTIF([1]감독시간표!$E$16:$K$16,'[1]감독 순번'!B15)+COUNTIF([1]감독시간표!$T$16:$V$16,'[1]감독 순번'!B15)+COUNTIF([1]감독시간표!$AI$16,'[1]감독 순번'!B15)+COUNTIF([1]감독시간표!$E$19:$S$19,'[1]감독 순번'!B15)+COUNTIF([1]감독시간표!$Y$19:$AE$19,'[1]감독 순번'!B15)+COUNTIF([1]감독시간표!$E$25:$K$25,'[1]감독 순번'!B15)+COUNTIF([1]감독시간표!$T$25:$V$25,'[1]감독 순번'!B15)+COUNTIF([1]감독시간표!$Y$25:$AA$25,'[1]감독 순번'!B15)+COUNTIF([1]감독시간표!$E$28:$S$28,'[1]감독 순번'!B15)+COUNTIF([1]감독시간표!$AA$28:$AC$28,'[1]감독 순번'!B15)+COUNTIF([1]감독시간표!$AF$28:$AI$28,'[1]감독 순번'!B15)+COUNTIF([1]감독시간표!$E$34:$P$34,'[1]감독 순번'!B15)+COUNTIF([1]감독시간표!$AF$34:$AH$34,'[1]감독 순번'!B15)+COUNTIF([1]감독시간표!$E$40:$S$40,'[1]감독 순번'!B15)+COUNTIF([1]감독시간표!$Y$40:$AE$40,'[1]감독 순번'!B15)+COUNTIF([1]감독시간표!$E$46:$Q$46,'[1]감독 순번'!B15)+COUNTIF([1]감독시간표!$Y$46:$AC$46,'[1]감독 순번'!B15)</f>
        <v>#VALUE!</v>
      </c>
      <c r="E15" s="177" t="e">
        <f>COUNTIF([1]감독시간표!$L$11:$S$11,'[1]감독 순번'!B15)+COUNTIF([1]감독시간표!$Y$11:$AE$11,'[1]감독 순번'!B15)+COUNTIF([1]감독시간표!$E$17:$K$17,'[1]감독 순번'!B15)+COUNTIF([1]감독시간표!$T$17:$V$17,'[1]감독 순번'!B15)+COUNTIF([1]감독시간표!$AI$17,'[1]감독 순번'!B15)+COUNTIF([1]감독시간표!$E$20:$S$20,'[1]감독 순번'!B15)+COUNTIF([1]감독시간표!$Y$20:$AE$20,'[1]감독 순번'!B15)+COUNTIF([1]감독시간표!$E$26:$K$26,'[1]감독 순번'!B15)+COUNTIF([1]감독시간표!$T$26:$V$26,'[1]감독 순번'!B15)+COUNTIF([1]감독시간표!$Y$26:$AA$26,'[1]감독 순번'!B15)+COUNTIF([1]감독시간표!$E$29:$S$29,'[1]감독 순번'!B15)+COUNTIF([1]감독시간표!$AA$29:$AC$29,'[1]감독 순번'!B15)+COUNTIF([1]감독시간표!$AF$29:$AI$29,'[1]감독 순번'!B15)+COUNTIF([1]감독시간표!$E$35:$P$35,'[1]감독 순번'!B15)+COUNTIF([1]감독시간표!$AF$35:$AH$35,'[1]감독 순번'!B15)+COUNTIF([1]감독시간표!$E$41:$S$41,'[1]감독 순번'!B15)+COUNTIF([1]감독시간표!$Y$41:$AE$41,'[1]감독 순번'!B15)+COUNTIF([1]감독시간표!$E$47:$Q$47,'[1]감독 순번'!B15)+COUNTIF([1]감독시간표!$Y$47:$AC$47,'[1]감독 순번'!B15)</f>
        <v>#VALUE!</v>
      </c>
      <c r="F15" s="177" t="e">
        <f>COUNTIF([1]감독시간표!$E$10:$K$11,'[1]감독 순번'!B15)+COUNTIF([1]감독시간표!$E$13:$S$14,'[1]감독 순번'!B15)+COUNTIF([1]감독시간표!$Y$13:$AE$14,'[1]감독 순번'!B15)+COUNTIF([1]감독시간표!$L$16:$S$17,'[1]감독 순번'!B15)+COUNTIF([1]감독시간표!$Y$16:$AE$17,'[1]감독 순번'!B15)+COUNTIF([1]감독시간표!$E$22:$S$23,'[1]감독 순번'!B15)+COUNTIF([1]감독시간표!$Y$22:$AE$23,'[1]감독 순번'!B15)+COUNTIF([1]감독시간표!$L$25:$S$26,'[1]감독 순번'!B15)+COUNTIF([1]감독시간표!$AJ$25:$AK$26,'[1]감독 순번'!B15)+COUNTIF([1]감독시간표!$E$31:$S$32,'[1]감독 순번'!B15)+COUNTIF([1]감독시간표!$Y$31:$AE$32,'[1]감독 순번'!B15)+COUNTIF([1]감독시간표!$W$34:$AE$35,'[1]감독 순번'!B15)+COUNTIF([1]감독시간표!$E$37:$S$38,'[1]감독 순번'!B15)+COUNTIF([1]감독시간표!$Y$37:$AE$38,'[1]감독 순번'!B15)+COUNTIF([1]감독시간표!$E$43:$S$44,'[1]감독 순번'!B15)+COUNTIF([1]감독시간표!$Y$43:$AE$44,'[1]감독 순번'!B15)+COUNTIF([1]감독시간표!$X$46,'[1]감독 순번'!B15)+COUNTIF([1]감독시간표!$AG$46,'[1]감독 순번'!B15)</f>
        <v>#VALUE!</v>
      </c>
      <c r="G15" s="178" t="e">
        <f t="shared" si="0"/>
        <v>#VALUE!</v>
      </c>
      <c r="H15" s="179"/>
      <c r="I15" s="177"/>
      <c r="J15" s="177"/>
      <c r="K15" s="180"/>
      <c r="L15" s="181"/>
      <c r="M15" s="182"/>
      <c r="N15" s="182"/>
      <c r="O15" s="182"/>
      <c r="P15" s="185" t="s">
        <v>2291</v>
      </c>
      <c r="Q15" s="51"/>
    </row>
    <row r="16" spans="2:20" ht="19.95" customHeight="1">
      <c r="B16" s="184">
        <v>12</v>
      </c>
      <c r="C16" s="187" t="str">
        <f>[1]감독시간표!I53</f>
        <v>황경화</v>
      </c>
      <c r="D16" s="177" t="e">
        <f>COUNTIF([1]감독시간표!$L$10:$S$10,'[1]감독 순번'!B16)+COUNTIF([1]감독시간표!$Y$10:$AE$10,'[1]감독 순번'!B16)+COUNTIF([1]감독시간표!$E$16:$K$16,'[1]감독 순번'!B16)+COUNTIF([1]감독시간표!$T$16:$V$16,'[1]감독 순번'!B16)+COUNTIF([1]감독시간표!$AI$16,'[1]감독 순번'!B16)+COUNTIF([1]감독시간표!$E$19:$S$19,'[1]감독 순번'!B16)+COUNTIF([1]감독시간표!$Y$19:$AE$19,'[1]감독 순번'!B16)+COUNTIF([1]감독시간표!$E$25:$K$25,'[1]감독 순번'!B16)+COUNTIF([1]감독시간표!$T$25:$V$25,'[1]감독 순번'!B16)+COUNTIF([1]감독시간표!$Y$25:$AA$25,'[1]감독 순번'!B16)+COUNTIF([1]감독시간표!$E$28:$S$28,'[1]감독 순번'!B16)+COUNTIF([1]감독시간표!$AA$28:$AC$28,'[1]감독 순번'!B16)+COUNTIF([1]감독시간표!$AF$28:$AI$28,'[1]감독 순번'!B16)+COUNTIF([1]감독시간표!$E$34:$P$34,'[1]감독 순번'!B16)+COUNTIF([1]감독시간표!$AF$34:$AH$34,'[1]감독 순번'!B16)+COUNTIF([1]감독시간표!$E$40:$S$40,'[1]감독 순번'!B16)+COUNTIF([1]감독시간표!$Y$40:$AE$40,'[1]감독 순번'!B16)+COUNTIF([1]감독시간표!$E$46:$Q$46,'[1]감독 순번'!B16)+COUNTIF([1]감독시간표!$Y$46:$AC$46,'[1]감독 순번'!B16)</f>
        <v>#VALUE!</v>
      </c>
      <c r="E16" s="177" t="e">
        <f>COUNTIF([1]감독시간표!$L$11:$S$11,'[1]감독 순번'!B16)+COUNTIF([1]감독시간표!$Y$11:$AE$11,'[1]감독 순번'!B16)+COUNTIF([1]감독시간표!$E$17:$K$17,'[1]감독 순번'!B16)+COUNTIF([1]감독시간표!$T$17:$V$17,'[1]감독 순번'!B16)+COUNTIF([1]감독시간표!$AI$17,'[1]감독 순번'!B16)+COUNTIF([1]감독시간표!$E$20:$S$20,'[1]감독 순번'!B16)+COUNTIF([1]감독시간표!$Y$20:$AE$20,'[1]감독 순번'!B16)+COUNTIF([1]감독시간표!$E$26:$K$26,'[1]감독 순번'!B16)+COUNTIF([1]감독시간표!$T$26:$V$26,'[1]감독 순번'!B16)+COUNTIF([1]감독시간표!$Y$26:$AA$26,'[1]감독 순번'!B16)+COUNTIF([1]감독시간표!$E$29:$S$29,'[1]감독 순번'!B16)+COUNTIF([1]감독시간표!$AA$29:$AC$29,'[1]감독 순번'!B16)+COUNTIF([1]감독시간표!$AF$29:$AI$29,'[1]감독 순번'!B16)+COUNTIF([1]감독시간표!$E$35:$P$35,'[1]감독 순번'!B16)+COUNTIF([1]감독시간표!$AF$35:$AH$35,'[1]감독 순번'!B16)+COUNTIF([1]감독시간표!$E$41:$S$41,'[1]감독 순번'!B16)+COUNTIF([1]감독시간표!$Y$41:$AE$41,'[1]감독 순번'!B16)+COUNTIF([1]감독시간표!$E$47:$Q$47,'[1]감독 순번'!B16)+COUNTIF([1]감독시간표!$Y$47:$AC$47,'[1]감독 순번'!B16)</f>
        <v>#VALUE!</v>
      </c>
      <c r="F16" s="177" t="e">
        <f>COUNTIF([1]감독시간표!$E$10:$K$11,'[1]감독 순번'!B16)+COUNTIF([1]감독시간표!$E$13:$S$14,'[1]감독 순번'!B16)+COUNTIF([1]감독시간표!$Y$13:$AE$14,'[1]감독 순번'!B16)+COUNTIF([1]감독시간표!$L$16:$S$17,'[1]감독 순번'!B16)+COUNTIF([1]감독시간표!$Y$16:$AE$17,'[1]감독 순번'!B16)+COUNTIF([1]감독시간표!$E$22:$S$23,'[1]감독 순번'!B16)+COUNTIF([1]감독시간표!$Y$22:$AE$23,'[1]감독 순번'!B16)+COUNTIF([1]감독시간표!$L$25:$S$26,'[1]감독 순번'!B16)+COUNTIF([1]감독시간표!$AJ$25:$AK$26,'[1]감독 순번'!B16)+COUNTIF([1]감독시간표!$E$31:$S$32,'[1]감독 순번'!B16)+COUNTIF([1]감독시간표!$Y$31:$AE$32,'[1]감독 순번'!B16)+COUNTIF([1]감독시간표!$W$34:$AE$35,'[1]감독 순번'!B16)+COUNTIF([1]감독시간표!$E$37:$S$38,'[1]감독 순번'!B16)+COUNTIF([1]감독시간표!$Y$37:$AE$38,'[1]감독 순번'!B16)+COUNTIF([1]감독시간표!$E$43:$S$44,'[1]감독 순번'!B16)+COUNTIF([1]감독시간표!$Y$43:$AE$44,'[1]감독 순번'!B16)+COUNTIF([1]감독시간표!$X$46,'[1]감독 순번'!B16)+COUNTIF([1]감독시간표!$AG$46,'[1]감독 순번'!B16)</f>
        <v>#VALUE!</v>
      </c>
      <c r="G16" s="178" t="e">
        <f t="shared" si="0"/>
        <v>#VALUE!</v>
      </c>
      <c r="H16" s="179"/>
      <c r="I16" s="177"/>
      <c r="J16" s="177"/>
      <c r="K16" s="180"/>
      <c r="L16" s="181"/>
      <c r="M16" s="182"/>
      <c r="N16" s="182"/>
      <c r="O16" s="182"/>
      <c r="P16" s="188" t="s">
        <v>2292</v>
      </c>
      <c r="Q16" s="51"/>
    </row>
    <row r="17" spans="2:17" ht="19.95" customHeight="1">
      <c r="B17" s="184">
        <v>13</v>
      </c>
      <c r="C17" s="187" t="str">
        <f>[1]감독시간표!I54</f>
        <v>박상송</v>
      </c>
      <c r="D17" s="177" t="e">
        <f>COUNTIF([1]감독시간표!$L$10:$S$10,'[1]감독 순번'!B17)+COUNTIF([1]감독시간표!$Y$10:$AE$10,'[1]감독 순번'!B17)+COUNTIF([1]감독시간표!$E$16:$K$16,'[1]감독 순번'!B17)+COUNTIF([1]감독시간표!$T$16:$V$16,'[1]감독 순번'!B17)+COUNTIF([1]감독시간표!$AI$16,'[1]감독 순번'!B17)+COUNTIF([1]감독시간표!$E$19:$S$19,'[1]감독 순번'!B17)+COUNTIF([1]감독시간표!$Y$19:$AE$19,'[1]감독 순번'!B17)+COUNTIF([1]감독시간표!$E$25:$K$25,'[1]감독 순번'!B17)+COUNTIF([1]감독시간표!$T$25:$V$25,'[1]감독 순번'!B17)+COUNTIF([1]감독시간표!$Y$25:$AA$25,'[1]감독 순번'!B17)+COUNTIF([1]감독시간표!$E$28:$S$28,'[1]감독 순번'!B17)+COUNTIF([1]감독시간표!$AA$28:$AC$28,'[1]감독 순번'!B17)+COUNTIF([1]감독시간표!$AF$28:$AI$28,'[1]감독 순번'!B17)+COUNTIF([1]감독시간표!$E$34:$P$34,'[1]감독 순번'!B17)+COUNTIF([1]감독시간표!$AF$34:$AH$34,'[1]감독 순번'!B17)+COUNTIF([1]감독시간표!$E$40:$S$40,'[1]감독 순번'!B17)+COUNTIF([1]감독시간표!$Y$40:$AE$40,'[1]감독 순번'!B17)+COUNTIF([1]감독시간표!$E$46:$Q$46,'[1]감독 순번'!B17)+COUNTIF([1]감독시간표!$Y$46:$AC$46,'[1]감독 순번'!B17)</f>
        <v>#VALUE!</v>
      </c>
      <c r="E17" s="177" t="e">
        <f>COUNTIF([1]감독시간표!$L$11:$S$11,'[1]감독 순번'!B17)+COUNTIF([1]감독시간표!$Y$11:$AE$11,'[1]감독 순번'!B17)+COUNTIF([1]감독시간표!$E$17:$K$17,'[1]감독 순번'!B17)+COUNTIF([1]감독시간표!$T$17:$V$17,'[1]감독 순번'!B17)+COUNTIF([1]감독시간표!$AI$17,'[1]감독 순번'!B17)+COUNTIF([1]감독시간표!$E$20:$S$20,'[1]감독 순번'!B17)+COUNTIF([1]감독시간표!$Y$20:$AE$20,'[1]감독 순번'!B17)+COUNTIF([1]감독시간표!$E$26:$K$26,'[1]감독 순번'!B17)+COUNTIF([1]감독시간표!$T$26:$V$26,'[1]감독 순번'!B17)+COUNTIF([1]감독시간표!$Y$26:$AA$26,'[1]감독 순번'!B17)+COUNTIF([1]감독시간표!$E$29:$S$29,'[1]감독 순번'!B17)+COUNTIF([1]감독시간표!$AA$29:$AC$29,'[1]감독 순번'!B17)+COUNTIF([1]감독시간표!$AF$29:$AI$29,'[1]감독 순번'!B17)+COUNTIF([1]감독시간표!$E$35:$P$35,'[1]감독 순번'!B17)+COUNTIF([1]감독시간표!$AF$35:$AH$35,'[1]감독 순번'!B17)+COUNTIF([1]감독시간표!$E$41:$S$41,'[1]감독 순번'!B17)+COUNTIF([1]감독시간표!$Y$41:$AE$41,'[1]감독 순번'!B17)+COUNTIF([1]감독시간표!$E$47:$Q$47,'[1]감독 순번'!B17)+COUNTIF([1]감독시간표!$Y$47:$AC$47,'[1]감독 순번'!B17)</f>
        <v>#VALUE!</v>
      </c>
      <c r="F17" s="177" t="e">
        <f>COUNTIF([1]감독시간표!$E$10:$K$11,'[1]감독 순번'!B17)+COUNTIF([1]감독시간표!$E$13:$S$14,'[1]감독 순번'!B17)+COUNTIF([1]감독시간표!$Y$13:$AE$14,'[1]감독 순번'!B17)+COUNTIF([1]감독시간표!$L$16:$S$17,'[1]감독 순번'!B17)+COUNTIF([1]감독시간표!$Y$16:$AE$17,'[1]감독 순번'!B17)+COUNTIF([1]감독시간표!$E$22:$S$23,'[1]감독 순번'!B17)+COUNTIF([1]감독시간표!$Y$22:$AE$23,'[1]감독 순번'!B17)+COUNTIF([1]감독시간표!$L$25:$S$26,'[1]감독 순번'!B17)+COUNTIF([1]감독시간표!$AJ$25:$AK$26,'[1]감독 순번'!B17)+COUNTIF([1]감독시간표!$E$31:$S$32,'[1]감독 순번'!B17)+COUNTIF([1]감독시간표!$Y$31:$AE$32,'[1]감독 순번'!B17)+COUNTIF([1]감독시간표!$W$34:$AE$35,'[1]감독 순번'!B17)+COUNTIF([1]감독시간표!$E$37:$S$38,'[1]감독 순번'!B17)+COUNTIF([1]감독시간표!$Y$37:$AE$38,'[1]감독 순번'!B17)+COUNTIF([1]감독시간표!$E$43:$S$44,'[1]감독 순번'!B17)+COUNTIF([1]감독시간표!$Y$43:$AE$44,'[1]감독 순번'!B17)+COUNTIF([1]감독시간표!$X$46,'[1]감독 순번'!B17)+COUNTIF([1]감독시간표!$AG$46,'[1]감독 순번'!B17)</f>
        <v>#VALUE!</v>
      </c>
      <c r="G17" s="178" t="e">
        <f t="shared" si="0"/>
        <v>#VALUE!</v>
      </c>
      <c r="H17" s="179"/>
      <c r="I17" s="177"/>
      <c r="J17" s="177"/>
      <c r="K17" s="180"/>
      <c r="L17" s="181"/>
      <c r="M17" s="182"/>
      <c r="N17" s="182"/>
      <c r="O17" s="182"/>
      <c r="P17" s="185"/>
      <c r="Q17" s="51"/>
    </row>
    <row r="18" spans="2:17" ht="19.95" customHeight="1">
      <c r="B18" s="184">
        <v>14</v>
      </c>
      <c r="C18" s="187" t="str">
        <f>[1]감독시간표!I55</f>
        <v>권나현</v>
      </c>
      <c r="D18" s="177" t="e">
        <f>COUNTIF([1]감독시간표!$L$10:$S$10,'[1]감독 순번'!B18)+COUNTIF([1]감독시간표!$Y$10:$AE$10,'[1]감독 순번'!B18)+COUNTIF([1]감독시간표!$E$16:$K$16,'[1]감독 순번'!B18)+COUNTIF([1]감독시간표!$T$16:$V$16,'[1]감독 순번'!B18)+COUNTIF([1]감독시간표!$AI$16,'[1]감독 순번'!B18)+COUNTIF([1]감독시간표!$E$19:$S$19,'[1]감독 순번'!B18)+COUNTIF([1]감독시간표!$Y$19:$AE$19,'[1]감독 순번'!B18)+COUNTIF([1]감독시간표!$E$25:$K$25,'[1]감독 순번'!B18)+COUNTIF([1]감독시간표!$T$25:$V$25,'[1]감독 순번'!B18)+COUNTIF([1]감독시간표!$Y$25:$AA$25,'[1]감독 순번'!B18)+COUNTIF([1]감독시간표!$E$28:$S$28,'[1]감독 순번'!B18)+COUNTIF([1]감독시간표!$AA$28:$AC$28,'[1]감독 순번'!B18)+COUNTIF([1]감독시간표!$AF$28:$AI$28,'[1]감독 순번'!B18)+COUNTIF([1]감독시간표!$E$34:$P$34,'[1]감독 순번'!B18)+COUNTIF([1]감독시간표!$AF$34:$AH$34,'[1]감독 순번'!B18)+COUNTIF([1]감독시간표!$E$40:$S$40,'[1]감독 순번'!B18)+COUNTIF([1]감독시간표!$Y$40:$AE$40,'[1]감독 순번'!B18)+COUNTIF([1]감독시간표!$E$46:$Q$46,'[1]감독 순번'!B18)+COUNTIF([1]감독시간표!$Y$46:$AC$46,'[1]감독 순번'!B18)</f>
        <v>#VALUE!</v>
      </c>
      <c r="E18" s="177" t="e">
        <f>COUNTIF([1]감독시간표!$L$11:$S$11,'[1]감독 순번'!B18)+COUNTIF([1]감독시간표!$Y$11:$AE$11,'[1]감독 순번'!B18)+COUNTIF([1]감독시간표!$E$17:$K$17,'[1]감독 순번'!B18)+COUNTIF([1]감독시간표!$T$17:$V$17,'[1]감독 순번'!B18)+COUNTIF([1]감독시간표!$AI$17,'[1]감독 순번'!B18)+COUNTIF([1]감독시간표!$E$20:$S$20,'[1]감독 순번'!B18)+COUNTIF([1]감독시간표!$Y$20:$AE$20,'[1]감독 순번'!B18)+COUNTIF([1]감독시간표!$E$26:$K$26,'[1]감독 순번'!B18)+COUNTIF([1]감독시간표!$T$26:$V$26,'[1]감독 순번'!B18)+COUNTIF([1]감독시간표!$Y$26:$AA$26,'[1]감독 순번'!B18)+COUNTIF([1]감독시간표!$E$29:$S$29,'[1]감독 순번'!B18)+COUNTIF([1]감독시간표!$AA$29:$AC$29,'[1]감독 순번'!B18)+COUNTIF([1]감독시간표!$AF$29:$AI$29,'[1]감독 순번'!B18)+COUNTIF([1]감독시간표!$E$35:$P$35,'[1]감독 순번'!B18)+COUNTIF([1]감독시간표!$AF$35:$AH$35,'[1]감독 순번'!B18)+COUNTIF([1]감독시간표!$E$41:$S$41,'[1]감독 순번'!B18)+COUNTIF([1]감독시간표!$Y$41:$AE$41,'[1]감독 순번'!B18)+COUNTIF([1]감독시간표!$E$47:$Q$47,'[1]감독 순번'!B18)+COUNTIF([1]감독시간표!$Y$47:$AC$47,'[1]감독 순번'!B18)</f>
        <v>#VALUE!</v>
      </c>
      <c r="F18" s="177" t="e">
        <f>COUNTIF([1]감독시간표!$E$10:$K$11,'[1]감독 순번'!B18)+COUNTIF([1]감독시간표!$E$13:$S$14,'[1]감독 순번'!B18)+COUNTIF([1]감독시간표!$Y$13:$AE$14,'[1]감독 순번'!B18)+COUNTIF([1]감독시간표!$L$16:$S$17,'[1]감독 순번'!B18)+COUNTIF([1]감독시간표!$Y$16:$AE$17,'[1]감독 순번'!B18)+COUNTIF([1]감독시간표!$E$22:$S$23,'[1]감독 순번'!B18)+COUNTIF([1]감독시간표!$Y$22:$AE$23,'[1]감독 순번'!B18)+COUNTIF([1]감독시간표!$L$25:$S$26,'[1]감독 순번'!B18)+COUNTIF([1]감독시간표!$AJ$25:$AK$26,'[1]감독 순번'!B18)+COUNTIF([1]감독시간표!$E$31:$S$32,'[1]감독 순번'!B18)+COUNTIF([1]감독시간표!$Y$31:$AE$32,'[1]감독 순번'!B18)+COUNTIF([1]감독시간표!$W$34:$AE$35,'[1]감독 순번'!B18)+COUNTIF([1]감독시간표!$E$37:$S$38,'[1]감독 순번'!B18)+COUNTIF([1]감독시간표!$Y$37:$AE$38,'[1]감독 순번'!B18)+COUNTIF([1]감독시간표!$E$43:$S$44,'[1]감독 순번'!B18)+COUNTIF([1]감독시간표!$Y$43:$AE$44,'[1]감독 순번'!B18)+COUNTIF([1]감독시간표!$X$46,'[1]감독 순번'!B18)+COUNTIF([1]감독시간표!$AG$46,'[1]감독 순번'!B18)</f>
        <v>#VALUE!</v>
      </c>
      <c r="G18" s="178" t="e">
        <f t="shared" si="0"/>
        <v>#VALUE!</v>
      </c>
      <c r="H18" s="179"/>
      <c r="I18" s="177"/>
      <c r="J18" s="177"/>
      <c r="K18" s="180"/>
      <c r="L18" s="181"/>
      <c r="M18" s="182"/>
      <c r="N18" s="182"/>
      <c r="O18" s="182"/>
      <c r="P18" s="185"/>
      <c r="Q18" s="51"/>
    </row>
    <row r="19" spans="2:17" ht="19.95" customHeight="1">
      <c r="B19" s="184">
        <v>15</v>
      </c>
      <c r="C19" s="187" t="str">
        <f>[1]감독시간표!I56</f>
        <v>김문섭</v>
      </c>
      <c r="D19" s="177" t="e">
        <f>COUNTIF([1]감독시간표!$L$10:$S$10,'[1]감독 순번'!B19)+COUNTIF([1]감독시간표!$Y$10:$AE$10,'[1]감독 순번'!B19)+COUNTIF([1]감독시간표!$E$16:$K$16,'[1]감독 순번'!B19)+COUNTIF([1]감독시간표!$T$16:$V$16,'[1]감독 순번'!B19)+COUNTIF([1]감독시간표!$AI$16,'[1]감독 순번'!B19)+COUNTIF([1]감독시간표!$E$19:$S$19,'[1]감독 순번'!B19)+COUNTIF([1]감독시간표!$Y$19:$AE$19,'[1]감독 순번'!B19)+COUNTIF([1]감독시간표!$E$25:$K$25,'[1]감독 순번'!B19)+COUNTIF([1]감독시간표!$T$25:$V$25,'[1]감독 순번'!B19)+COUNTIF([1]감독시간표!$Y$25:$AA$25,'[1]감독 순번'!B19)+COUNTIF([1]감독시간표!$E$28:$S$28,'[1]감독 순번'!B19)+COUNTIF([1]감독시간표!$AA$28:$AC$28,'[1]감독 순번'!B19)+COUNTIF([1]감독시간표!$AF$28:$AI$28,'[1]감독 순번'!B19)+COUNTIF([1]감독시간표!$E$34:$P$34,'[1]감독 순번'!B19)+COUNTIF([1]감독시간표!$AF$34:$AH$34,'[1]감독 순번'!B19)+COUNTIF([1]감독시간표!$E$40:$S$40,'[1]감독 순번'!B19)+COUNTIF([1]감독시간표!$Y$40:$AE$40,'[1]감독 순번'!B19)+COUNTIF([1]감독시간표!$E$46:$Q$46,'[1]감독 순번'!B19)+COUNTIF([1]감독시간표!$Y$46:$AC$46,'[1]감독 순번'!B19)</f>
        <v>#VALUE!</v>
      </c>
      <c r="E19" s="177" t="e">
        <f>COUNTIF([1]감독시간표!$L$11:$S$11,'[1]감독 순번'!B19)+COUNTIF([1]감독시간표!$Y$11:$AE$11,'[1]감독 순번'!B19)+COUNTIF([1]감독시간표!$E$17:$K$17,'[1]감독 순번'!B19)+COUNTIF([1]감독시간표!$T$17:$V$17,'[1]감독 순번'!B19)+COUNTIF([1]감독시간표!$AI$17,'[1]감독 순번'!B19)+COUNTIF([1]감독시간표!$E$20:$S$20,'[1]감독 순번'!B19)+COUNTIF([1]감독시간표!$Y$20:$AE$20,'[1]감독 순번'!B19)+COUNTIF([1]감독시간표!$E$26:$K$26,'[1]감독 순번'!B19)+COUNTIF([1]감독시간표!$T$26:$V$26,'[1]감독 순번'!B19)+COUNTIF([1]감독시간표!$Y$26:$AA$26,'[1]감독 순번'!B19)+COUNTIF([1]감독시간표!$E$29:$S$29,'[1]감독 순번'!B19)+COUNTIF([1]감독시간표!$AA$29:$AC$29,'[1]감독 순번'!B19)+COUNTIF([1]감독시간표!$AF$29:$AI$29,'[1]감독 순번'!B19)+COUNTIF([1]감독시간표!$E$35:$P$35,'[1]감독 순번'!B19)+COUNTIF([1]감독시간표!$AF$35:$AH$35,'[1]감독 순번'!B19)+COUNTIF([1]감독시간표!$E$41:$S$41,'[1]감독 순번'!B19)+COUNTIF([1]감독시간표!$Y$41:$AE$41,'[1]감독 순번'!B19)+COUNTIF([1]감독시간표!$E$47:$Q$47,'[1]감독 순번'!B19)+COUNTIF([1]감독시간표!$Y$47:$AC$47,'[1]감독 순번'!B19)</f>
        <v>#VALUE!</v>
      </c>
      <c r="F19" s="177" t="e">
        <f>COUNTIF([1]감독시간표!$E$10:$K$11,'[1]감독 순번'!B19)+COUNTIF([1]감독시간표!$E$13:$S$14,'[1]감독 순번'!B19)+COUNTIF([1]감독시간표!$Y$13:$AE$14,'[1]감독 순번'!B19)+COUNTIF([1]감독시간표!$L$16:$S$17,'[1]감독 순번'!B19)+COUNTIF([1]감독시간표!$Y$16:$AE$17,'[1]감독 순번'!B19)+COUNTIF([1]감독시간표!$E$22:$S$23,'[1]감독 순번'!B19)+COUNTIF([1]감독시간표!$Y$22:$AE$23,'[1]감독 순번'!B19)+COUNTIF([1]감독시간표!$L$25:$S$26,'[1]감독 순번'!B19)+COUNTIF([1]감독시간표!$AJ$25:$AK$26,'[1]감독 순번'!B19)+COUNTIF([1]감독시간표!$E$31:$S$32,'[1]감독 순번'!B19)+COUNTIF([1]감독시간표!$Y$31:$AE$32,'[1]감독 순번'!B19)+COUNTIF([1]감독시간표!$W$34:$AE$35,'[1]감독 순번'!B19)+COUNTIF([1]감독시간표!$E$37:$S$38,'[1]감독 순번'!B19)+COUNTIF([1]감독시간표!$Y$37:$AE$38,'[1]감독 순번'!B19)+COUNTIF([1]감독시간표!$E$43:$S$44,'[1]감독 순번'!B19)+COUNTIF([1]감독시간표!$Y$43:$AE$44,'[1]감독 순번'!B19)+COUNTIF([1]감독시간표!$X$46,'[1]감독 순번'!B19)+COUNTIF([1]감독시간표!$AG$46,'[1]감독 순번'!B19)</f>
        <v>#VALUE!</v>
      </c>
      <c r="G19" s="178" t="e">
        <f t="shared" si="0"/>
        <v>#VALUE!</v>
      </c>
      <c r="H19" s="179"/>
      <c r="I19" s="177"/>
      <c r="J19" s="177"/>
      <c r="K19" s="180"/>
      <c r="L19" s="181"/>
      <c r="M19" s="182"/>
      <c r="N19" s="182"/>
      <c r="O19" s="182"/>
      <c r="P19" s="185"/>
      <c r="Q19" s="51"/>
    </row>
    <row r="20" spans="2:17" ht="19.95" customHeight="1">
      <c r="B20" s="184">
        <v>16</v>
      </c>
      <c r="C20" s="187" t="str">
        <f>[1]감독시간표!I57</f>
        <v>박한샘</v>
      </c>
      <c r="D20" s="177" t="e">
        <f>COUNTIF([1]감독시간표!$L$10:$S$10,'[1]감독 순번'!B20)+COUNTIF([1]감독시간표!$Y$10:$AE$10,'[1]감독 순번'!B20)+COUNTIF([1]감독시간표!$E$16:$K$16,'[1]감독 순번'!B20)+COUNTIF([1]감독시간표!$T$16:$V$16,'[1]감독 순번'!B20)+COUNTIF([1]감독시간표!$AI$16,'[1]감독 순번'!B20)+COUNTIF([1]감독시간표!$E$19:$S$19,'[1]감독 순번'!B20)+COUNTIF([1]감독시간표!$Y$19:$AE$19,'[1]감독 순번'!B20)+COUNTIF([1]감독시간표!$E$25:$K$25,'[1]감독 순번'!B20)+COUNTIF([1]감독시간표!$T$25:$V$25,'[1]감독 순번'!B20)+COUNTIF([1]감독시간표!$Y$25:$AA$25,'[1]감독 순번'!B20)+COUNTIF([1]감독시간표!$E$28:$S$28,'[1]감독 순번'!B20)+COUNTIF([1]감독시간표!$AA$28:$AC$28,'[1]감독 순번'!B20)+COUNTIF([1]감독시간표!$AF$28:$AI$28,'[1]감독 순번'!B20)+COUNTIF([1]감독시간표!$E$34:$P$34,'[1]감독 순번'!B20)+COUNTIF([1]감독시간표!$AF$34:$AH$34,'[1]감독 순번'!B20)+COUNTIF([1]감독시간표!$E$40:$S$40,'[1]감독 순번'!B20)+COUNTIF([1]감독시간표!$Y$40:$AE$40,'[1]감독 순번'!B20)+COUNTIF([1]감독시간표!$E$46:$Q$46,'[1]감독 순번'!B20)+COUNTIF([1]감독시간표!$Y$46:$AC$46,'[1]감독 순번'!B20)</f>
        <v>#VALUE!</v>
      </c>
      <c r="E20" s="177" t="e">
        <f>COUNTIF([1]감독시간표!$L$11:$S$11,'[1]감독 순번'!B20)+COUNTIF([1]감독시간표!$Y$11:$AE$11,'[1]감독 순번'!B20)+COUNTIF([1]감독시간표!$E$17:$K$17,'[1]감독 순번'!B20)+COUNTIF([1]감독시간표!$T$17:$V$17,'[1]감독 순번'!B20)+COUNTIF([1]감독시간표!$AI$17,'[1]감독 순번'!B20)+COUNTIF([1]감독시간표!$E$20:$S$20,'[1]감독 순번'!B20)+COUNTIF([1]감독시간표!$Y$20:$AE$20,'[1]감독 순번'!B20)+COUNTIF([1]감독시간표!$E$26:$K$26,'[1]감독 순번'!B20)+COUNTIF([1]감독시간표!$T$26:$V$26,'[1]감독 순번'!B20)+COUNTIF([1]감독시간표!$Y$26:$AA$26,'[1]감독 순번'!B20)+COUNTIF([1]감독시간표!$E$29:$S$29,'[1]감독 순번'!B20)+COUNTIF([1]감독시간표!$AA$29:$AC$29,'[1]감독 순번'!B20)+COUNTIF([1]감독시간표!$AF$29:$AI$29,'[1]감독 순번'!B20)+COUNTIF([1]감독시간표!$E$35:$P$35,'[1]감독 순번'!B20)+COUNTIF([1]감독시간표!$AF$35:$AH$35,'[1]감독 순번'!B20)+COUNTIF([1]감독시간표!$E$41:$S$41,'[1]감독 순번'!B20)+COUNTIF([1]감독시간표!$Y$41:$AE$41,'[1]감독 순번'!B20)+COUNTIF([1]감독시간표!$E$47:$Q$47,'[1]감독 순번'!B20)+COUNTIF([1]감독시간표!$Y$47:$AC$47,'[1]감독 순번'!B20)</f>
        <v>#VALUE!</v>
      </c>
      <c r="F20" s="177" t="e">
        <f>COUNTIF([1]감독시간표!$E$10:$K$11,'[1]감독 순번'!B20)+COUNTIF([1]감독시간표!$E$13:$S$14,'[1]감독 순번'!B20)+COUNTIF([1]감독시간표!$Y$13:$AE$14,'[1]감독 순번'!B20)+COUNTIF([1]감독시간표!$L$16:$S$17,'[1]감독 순번'!B20)+COUNTIF([1]감독시간표!$Y$16:$AE$17,'[1]감독 순번'!B20)+COUNTIF([1]감독시간표!$E$22:$S$23,'[1]감독 순번'!B20)+COUNTIF([1]감독시간표!$Y$22:$AE$23,'[1]감독 순번'!B20)+COUNTIF([1]감독시간표!$L$25:$S$26,'[1]감독 순번'!B20)+COUNTIF([1]감독시간표!$AJ$25:$AK$26,'[1]감독 순번'!B20)+COUNTIF([1]감독시간표!$E$31:$S$32,'[1]감독 순번'!B20)+COUNTIF([1]감독시간표!$Y$31:$AE$32,'[1]감독 순번'!B20)+COUNTIF([1]감독시간표!$W$34:$AE$35,'[1]감독 순번'!B20)+COUNTIF([1]감독시간표!$E$37:$S$38,'[1]감독 순번'!B20)+COUNTIF([1]감독시간표!$Y$37:$AE$38,'[1]감독 순번'!B20)+COUNTIF([1]감독시간표!$E$43:$S$44,'[1]감독 순번'!B20)+COUNTIF([1]감독시간표!$Y$43:$AE$44,'[1]감독 순번'!B20)+COUNTIF([1]감독시간표!$X$46,'[1]감독 순번'!B20)+COUNTIF([1]감독시간표!$AG$46,'[1]감독 순번'!B20)</f>
        <v>#VALUE!</v>
      </c>
      <c r="G20" s="178" t="e">
        <f t="shared" si="0"/>
        <v>#VALUE!</v>
      </c>
      <c r="H20" s="179"/>
      <c r="I20" s="177"/>
      <c r="J20" s="177"/>
      <c r="K20" s="180"/>
      <c r="L20" s="181"/>
      <c r="M20" s="182"/>
      <c r="N20" s="182"/>
      <c r="O20" s="182"/>
      <c r="P20" s="185" t="s">
        <v>2293</v>
      </c>
      <c r="Q20" s="51"/>
    </row>
    <row r="21" spans="2:17" ht="19.95" customHeight="1">
      <c r="B21" s="184">
        <v>17</v>
      </c>
      <c r="C21" s="187" t="str">
        <f>[1]감독시간표!I58</f>
        <v>김경애</v>
      </c>
      <c r="D21" s="177" t="e">
        <f>COUNTIF([1]감독시간표!$L$10:$S$10,'[1]감독 순번'!B21)+COUNTIF([1]감독시간표!$Y$10:$AE$10,'[1]감독 순번'!B21)+COUNTIF([1]감독시간표!$E$16:$K$16,'[1]감독 순번'!B21)+COUNTIF([1]감독시간표!$T$16:$V$16,'[1]감독 순번'!B21)+COUNTIF([1]감독시간표!$AI$16,'[1]감독 순번'!B21)+COUNTIF([1]감독시간표!$E$19:$S$19,'[1]감독 순번'!B21)+COUNTIF([1]감독시간표!$Y$19:$AE$19,'[1]감독 순번'!B21)+COUNTIF([1]감독시간표!$E$25:$K$25,'[1]감독 순번'!B21)+COUNTIF([1]감독시간표!$T$25:$V$25,'[1]감독 순번'!B21)+COUNTIF([1]감독시간표!$Y$25:$AA$25,'[1]감독 순번'!B21)+COUNTIF([1]감독시간표!$E$28:$S$28,'[1]감독 순번'!B21)+COUNTIF([1]감독시간표!$AA$28:$AC$28,'[1]감독 순번'!B21)+COUNTIF([1]감독시간표!$AF$28:$AI$28,'[1]감독 순번'!B21)+COUNTIF([1]감독시간표!$E$34:$P$34,'[1]감독 순번'!B21)+COUNTIF([1]감독시간표!$AF$34:$AH$34,'[1]감독 순번'!B21)+COUNTIF([1]감독시간표!$E$40:$S$40,'[1]감독 순번'!B21)+COUNTIF([1]감독시간표!$Y$40:$AE$40,'[1]감독 순번'!B21)+COUNTIF([1]감독시간표!$E$46:$Q$46,'[1]감독 순번'!B21)+COUNTIF([1]감독시간표!$Y$46:$AC$46,'[1]감독 순번'!B21)</f>
        <v>#VALUE!</v>
      </c>
      <c r="E21" s="177" t="e">
        <f>COUNTIF([1]감독시간표!$L$11:$S$11,'[1]감독 순번'!B21)+COUNTIF([1]감독시간표!$Y$11:$AE$11,'[1]감독 순번'!B21)+COUNTIF([1]감독시간표!$E$17:$K$17,'[1]감독 순번'!B21)+COUNTIF([1]감독시간표!$T$17:$V$17,'[1]감독 순번'!B21)+COUNTIF([1]감독시간표!$AI$17,'[1]감독 순번'!B21)+COUNTIF([1]감독시간표!$E$20:$S$20,'[1]감독 순번'!B21)+COUNTIF([1]감독시간표!$Y$20:$AE$20,'[1]감독 순번'!B21)+COUNTIF([1]감독시간표!$E$26:$K$26,'[1]감독 순번'!B21)+COUNTIF([1]감독시간표!$T$26:$V$26,'[1]감독 순번'!B21)+COUNTIF([1]감독시간표!$Y$26:$AA$26,'[1]감독 순번'!B21)+COUNTIF([1]감독시간표!$E$29:$S$29,'[1]감독 순번'!B21)+COUNTIF([1]감독시간표!$AA$29:$AC$29,'[1]감독 순번'!B21)+COUNTIF([1]감독시간표!$AF$29:$AI$29,'[1]감독 순번'!B21)+COUNTIF([1]감독시간표!$E$35:$P$35,'[1]감독 순번'!B21)+COUNTIF([1]감독시간표!$AF$35:$AH$35,'[1]감독 순번'!B21)+COUNTIF([1]감독시간표!$E$41:$S$41,'[1]감독 순번'!B21)+COUNTIF([1]감독시간표!$Y$41:$AE$41,'[1]감독 순번'!B21)+COUNTIF([1]감독시간표!$E$47:$Q$47,'[1]감독 순번'!B21)+COUNTIF([1]감독시간표!$Y$47:$AC$47,'[1]감독 순번'!B21)</f>
        <v>#VALUE!</v>
      </c>
      <c r="F21" s="177" t="e">
        <f>COUNTIF([1]감독시간표!$E$10:$K$11,'[1]감독 순번'!B21)+COUNTIF([1]감독시간표!$E$13:$S$14,'[1]감독 순번'!B21)+COUNTIF([1]감독시간표!$Y$13:$AE$14,'[1]감독 순번'!B21)+COUNTIF([1]감독시간표!$L$16:$S$17,'[1]감독 순번'!B21)+COUNTIF([1]감독시간표!$Y$16:$AE$17,'[1]감독 순번'!B21)+COUNTIF([1]감독시간표!$E$22:$S$23,'[1]감독 순번'!B21)+COUNTIF([1]감독시간표!$Y$22:$AE$23,'[1]감독 순번'!B21)+COUNTIF([1]감독시간표!$L$25:$S$26,'[1]감독 순번'!B21)+COUNTIF([1]감독시간표!$AJ$25:$AK$26,'[1]감독 순번'!B21)+COUNTIF([1]감독시간표!$E$31:$S$32,'[1]감독 순번'!B21)+COUNTIF([1]감독시간표!$Y$31:$AE$32,'[1]감독 순번'!B21)+COUNTIF([1]감독시간표!$W$34:$AE$35,'[1]감독 순번'!B21)+COUNTIF([1]감독시간표!$E$37:$S$38,'[1]감독 순번'!B21)+COUNTIF([1]감독시간표!$Y$37:$AE$38,'[1]감독 순번'!B21)+COUNTIF([1]감독시간표!$E$43:$S$44,'[1]감독 순번'!B21)+COUNTIF([1]감독시간표!$Y$43:$AE$44,'[1]감독 순번'!B21)+COUNTIF([1]감독시간표!$X$46,'[1]감독 순번'!B21)+COUNTIF([1]감독시간표!$AG$46,'[1]감독 순번'!B21)</f>
        <v>#VALUE!</v>
      </c>
      <c r="G21" s="178" t="e">
        <f t="shared" si="0"/>
        <v>#VALUE!</v>
      </c>
      <c r="H21" s="179"/>
      <c r="I21" s="177"/>
      <c r="J21" s="177"/>
      <c r="K21" s="180"/>
      <c r="L21" s="181"/>
      <c r="M21" s="182"/>
      <c r="N21" s="182"/>
      <c r="O21" s="182"/>
      <c r="P21" s="185" t="s">
        <v>2294</v>
      </c>
      <c r="Q21" s="51"/>
    </row>
    <row r="22" spans="2:17" ht="19.95" customHeight="1">
      <c r="B22" s="184">
        <v>18</v>
      </c>
      <c r="C22" s="187" t="str">
        <f>[1]감독시간표!I59</f>
        <v>김영기</v>
      </c>
      <c r="D22" s="177" t="e">
        <f>COUNTIF([1]감독시간표!$L$10:$S$10,'[1]감독 순번'!B22)+COUNTIF([1]감독시간표!$Y$10:$AE$10,'[1]감독 순번'!B22)+COUNTIF([1]감독시간표!$E$16:$K$16,'[1]감독 순번'!B22)+COUNTIF([1]감독시간표!$T$16:$V$16,'[1]감독 순번'!B22)+COUNTIF([1]감독시간표!$AI$16,'[1]감독 순번'!B22)+COUNTIF([1]감독시간표!$E$19:$S$19,'[1]감독 순번'!B22)+COUNTIF([1]감독시간표!$Y$19:$AE$19,'[1]감독 순번'!B22)+COUNTIF([1]감독시간표!$E$25:$K$25,'[1]감독 순번'!B22)+COUNTIF([1]감독시간표!$T$25:$V$25,'[1]감독 순번'!B22)+COUNTIF([1]감독시간표!$Y$25:$AA$25,'[1]감독 순번'!B22)+COUNTIF([1]감독시간표!$E$28:$S$28,'[1]감독 순번'!B22)+COUNTIF([1]감독시간표!$AA$28:$AC$28,'[1]감독 순번'!B22)+COUNTIF([1]감독시간표!$AF$28:$AI$28,'[1]감독 순번'!B22)+COUNTIF([1]감독시간표!$E$34:$P$34,'[1]감독 순번'!B22)+COUNTIF([1]감독시간표!$AF$34:$AH$34,'[1]감독 순번'!B22)+COUNTIF([1]감독시간표!$E$40:$S$40,'[1]감독 순번'!B22)+COUNTIF([1]감독시간표!$Y$40:$AE$40,'[1]감독 순번'!B22)+COUNTIF([1]감독시간표!$E$46:$Q$46,'[1]감독 순번'!B22)+COUNTIF([1]감독시간표!$Y$46:$AC$46,'[1]감독 순번'!B22)</f>
        <v>#VALUE!</v>
      </c>
      <c r="E22" s="177" t="e">
        <f>COUNTIF([1]감독시간표!$L$11:$S$11,'[1]감독 순번'!B22)+COUNTIF([1]감독시간표!$Y$11:$AE$11,'[1]감독 순번'!B22)+COUNTIF([1]감독시간표!$E$17:$K$17,'[1]감독 순번'!B22)+COUNTIF([1]감독시간표!$T$17:$V$17,'[1]감독 순번'!B22)+COUNTIF([1]감독시간표!$AI$17,'[1]감독 순번'!B22)+COUNTIF([1]감독시간표!$E$20:$S$20,'[1]감독 순번'!B22)+COUNTIF([1]감독시간표!$Y$20:$AE$20,'[1]감독 순번'!B22)+COUNTIF([1]감독시간표!$E$26:$K$26,'[1]감독 순번'!B22)+COUNTIF([1]감독시간표!$T$26:$V$26,'[1]감독 순번'!B22)+COUNTIF([1]감독시간표!$Y$26:$AA$26,'[1]감독 순번'!B22)+COUNTIF([1]감독시간표!$E$29:$S$29,'[1]감독 순번'!B22)+COUNTIF([1]감독시간표!$AA$29:$AC$29,'[1]감독 순번'!B22)+COUNTIF([1]감독시간표!$AF$29:$AI$29,'[1]감독 순번'!B22)+COUNTIF([1]감독시간표!$E$35:$P$35,'[1]감독 순번'!B22)+COUNTIF([1]감독시간표!$AF$35:$AH$35,'[1]감독 순번'!B22)+COUNTIF([1]감독시간표!$E$41:$S$41,'[1]감독 순번'!B22)+COUNTIF([1]감독시간표!$Y$41:$AE$41,'[1]감독 순번'!B22)+COUNTIF([1]감독시간표!$E$47:$Q$47,'[1]감독 순번'!B22)+COUNTIF([1]감독시간표!$Y$47:$AC$47,'[1]감독 순번'!B22)</f>
        <v>#VALUE!</v>
      </c>
      <c r="F22" s="177" t="e">
        <f>COUNTIF([1]감독시간표!$E$10:$K$11,'[1]감독 순번'!B22)+COUNTIF([1]감독시간표!$E$13:$S$14,'[1]감독 순번'!B22)+COUNTIF([1]감독시간표!$Y$13:$AE$14,'[1]감독 순번'!B22)+COUNTIF([1]감독시간표!$L$16:$S$17,'[1]감독 순번'!B22)+COUNTIF([1]감독시간표!$Y$16:$AE$17,'[1]감독 순번'!B22)+COUNTIF([1]감독시간표!$E$22:$S$23,'[1]감독 순번'!B22)+COUNTIF([1]감독시간표!$Y$22:$AE$23,'[1]감독 순번'!B22)+COUNTIF([1]감독시간표!$L$25:$S$26,'[1]감독 순번'!B22)+COUNTIF([1]감독시간표!$AJ$25:$AK$26,'[1]감독 순번'!B22)+COUNTIF([1]감독시간표!$E$31:$S$32,'[1]감독 순번'!B22)+COUNTIF([1]감독시간표!$Y$31:$AE$32,'[1]감독 순번'!B22)+COUNTIF([1]감독시간표!$W$34:$AE$35,'[1]감독 순번'!B22)+COUNTIF([1]감독시간표!$E$37:$S$38,'[1]감독 순번'!B22)+COUNTIF([1]감독시간표!$Y$37:$AE$38,'[1]감독 순번'!B22)+COUNTIF([1]감독시간표!$E$43:$S$44,'[1]감독 순번'!B22)+COUNTIF([1]감독시간표!$Y$43:$AE$44,'[1]감독 순번'!B22)+COUNTIF([1]감독시간표!$X$46,'[1]감독 순번'!B22)+COUNTIF([1]감독시간표!$AG$46,'[1]감독 순번'!B22)</f>
        <v>#VALUE!</v>
      </c>
      <c r="G22" s="178" t="e">
        <f t="shared" si="0"/>
        <v>#VALUE!</v>
      </c>
      <c r="H22" s="179"/>
      <c r="I22" s="177"/>
      <c r="J22" s="177"/>
      <c r="K22" s="180"/>
      <c r="L22" s="181"/>
      <c r="M22" s="182"/>
      <c r="N22" s="182"/>
      <c r="O22" s="182"/>
      <c r="P22" s="185"/>
      <c r="Q22" s="51"/>
    </row>
    <row r="23" spans="2:17" ht="19.95" customHeight="1">
      <c r="B23" s="184">
        <v>19</v>
      </c>
      <c r="C23" s="187" t="str">
        <f>[1]감독시간표!I60</f>
        <v>김치범</v>
      </c>
      <c r="D23" s="177" t="e">
        <f>COUNTIF([1]감독시간표!$L$10:$S$10,'[1]감독 순번'!B23)+COUNTIF([1]감독시간표!$Y$10:$AE$10,'[1]감독 순번'!B23)+COUNTIF([1]감독시간표!$E$16:$K$16,'[1]감독 순번'!B23)+COUNTIF([1]감독시간표!$T$16:$V$16,'[1]감독 순번'!B23)+COUNTIF([1]감독시간표!$AI$16,'[1]감독 순번'!B23)+COUNTIF([1]감독시간표!$E$19:$S$19,'[1]감독 순번'!B23)+COUNTIF([1]감독시간표!$Y$19:$AE$19,'[1]감독 순번'!B23)+COUNTIF([1]감독시간표!$E$25:$K$25,'[1]감독 순번'!B23)+COUNTIF([1]감독시간표!$T$25:$V$25,'[1]감독 순번'!B23)+COUNTIF([1]감독시간표!$Y$25:$AA$25,'[1]감독 순번'!B23)+COUNTIF([1]감독시간표!$E$28:$S$28,'[1]감독 순번'!B23)+COUNTIF([1]감독시간표!$AA$28:$AC$28,'[1]감독 순번'!B23)+COUNTIF([1]감독시간표!$AF$28:$AI$28,'[1]감독 순번'!B23)+COUNTIF([1]감독시간표!$E$34:$P$34,'[1]감독 순번'!B23)+COUNTIF([1]감독시간표!$AF$34:$AH$34,'[1]감독 순번'!B23)+COUNTIF([1]감독시간표!$E$40:$S$40,'[1]감독 순번'!B23)+COUNTIF([1]감독시간표!$Y$40:$AE$40,'[1]감독 순번'!B23)+COUNTIF([1]감독시간표!$E$46:$Q$46,'[1]감독 순번'!B23)+COUNTIF([1]감독시간표!$Y$46:$AC$46,'[1]감독 순번'!B23)</f>
        <v>#VALUE!</v>
      </c>
      <c r="E23" s="177" t="e">
        <f>COUNTIF([1]감독시간표!$L$11:$S$11,'[1]감독 순번'!B23)+COUNTIF([1]감독시간표!$Y$11:$AE$11,'[1]감독 순번'!B23)+COUNTIF([1]감독시간표!$E$17:$K$17,'[1]감독 순번'!B23)+COUNTIF([1]감독시간표!$T$17:$V$17,'[1]감독 순번'!B23)+COUNTIF([1]감독시간표!$AI$17,'[1]감독 순번'!B23)+COUNTIF([1]감독시간표!$E$20:$S$20,'[1]감독 순번'!B23)+COUNTIF([1]감독시간표!$Y$20:$AE$20,'[1]감독 순번'!B23)+COUNTIF([1]감독시간표!$E$26:$K$26,'[1]감독 순번'!B23)+COUNTIF([1]감독시간표!$T$26:$V$26,'[1]감독 순번'!B23)+COUNTIF([1]감독시간표!$Y$26:$AA$26,'[1]감독 순번'!B23)+COUNTIF([1]감독시간표!$E$29:$S$29,'[1]감독 순번'!B23)+COUNTIF([1]감독시간표!$AA$29:$AC$29,'[1]감독 순번'!B23)+COUNTIF([1]감독시간표!$AF$29:$AI$29,'[1]감독 순번'!B23)+COUNTIF([1]감독시간표!$E$35:$P$35,'[1]감독 순번'!B23)+COUNTIF([1]감독시간표!$AF$35:$AH$35,'[1]감독 순번'!B23)+COUNTIF([1]감독시간표!$E$41:$S$41,'[1]감독 순번'!B23)+COUNTIF([1]감독시간표!$Y$41:$AE$41,'[1]감독 순번'!B23)+COUNTIF([1]감독시간표!$E$47:$Q$47,'[1]감독 순번'!B23)+COUNTIF([1]감독시간표!$Y$47:$AC$47,'[1]감독 순번'!B23)</f>
        <v>#VALUE!</v>
      </c>
      <c r="F23" s="177" t="e">
        <f>COUNTIF([1]감독시간표!$E$10:$K$11,'[1]감독 순번'!B23)+COUNTIF([1]감독시간표!$E$13:$S$14,'[1]감독 순번'!B23)+COUNTIF([1]감독시간표!$Y$13:$AE$14,'[1]감독 순번'!B23)+COUNTIF([1]감독시간표!$L$16:$S$17,'[1]감독 순번'!B23)+COUNTIF([1]감독시간표!$Y$16:$AE$17,'[1]감독 순번'!B23)+COUNTIF([1]감독시간표!$E$22:$S$23,'[1]감독 순번'!B23)+COUNTIF([1]감독시간표!$Y$22:$AE$23,'[1]감독 순번'!B23)+COUNTIF([1]감독시간표!$L$25:$S$26,'[1]감독 순번'!B23)+COUNTIF([1]감독시간표!$AJ$25:$AK$26,'[1]감독 순번'!B23)+COUNTIF([1]감독시간표!$E$31:$S$32,'[1]감독 순번'!B23)+COUNTIF([1]감독시간표!$Y$31:$AE$32,'[1]감독 순번'!B23)+COUNTIF([1]감독시간표!$W$34:$AE$35,'[1]감독 순번'!B23)+COUNTIF([1]감독시간표!$E$37:$S$38,'[1]감독 순번'!B23)+COUNTIF([1]감독시간표!$Y$37:$AE$38,'[1]감독 순번'!B23)+COUNTIF([1]감독시간표!$E$43:$S$44,'[1]감독 순번'!B23)+COUNTIF([1]감독시간표!$Y$43:$AE$44,'[1]감독 순번'!B23)+COUNTIF([1]감독시간표!$X$46,'[1]감독 순번'!B23)+COUNTIF([1]감독시간표!$AG$46,'[1]감독 순번'!B23)</f>
        <v>#VALUE!</v>
      </c>
      <c r="G23" s="178" t="e">
        <f t="shared" si="0"/>
        <v>#VALUE!</v>
      </c>
      <c r="H23" s="179"/>
      <c r="I23" s="177"/>
      <c r="J23" s="177"/>
      <c r="K23" s="180"/>
      <c r="L23" s="181"/>
      <c r="M23" s="182"/>
      <c r="N23" s="182"/>
      <c r="O23" s="182"/>
      <c r="P23" s="185"/>
      <c r="Q23" s="51" t="s">
        <v>2295</v>
      </c>
    </row>
    <row r="24" spans="2:17" ht="19.95" customHeight="1">
      <c r="B24" s="184">
        <v>20</v>
      </c>
      <c r="C24" s="187" t="str">
        <f>[1]감독시간표!I61</f>
        <v>이지연</v>
      </c>
      <c r="D24" s="177" t="e">
        <f>COUNTIF([1]감독시간표!$L$10:$S$10,'[1]감독 순번'!B24)+COUNTIF([1]감독시간표!$Y$10:$AE$10,'[1]감독 순번'!B24)+COUNTIF([1]감독시간표!$E$16:$K$16,'[1]감독 순번'!B24)+COUNTIF([1]감독시간표!$T$16:$V$16,'[1]감독 순번'!B24)+COUNTIF([1]감독시간표!$AI$16,'[1]감독 순번'!B24)+COUNTIF([1]감독시간표!$E$19:$S$19,'[1]감독 순번'!B24)+COUNTIF([1]감독시간표!$Y$19:$AE$19,'[1]감독 순번'!B24)+COUNTIF([1]감독시간표!$E$25:$K$25,'[1]감독 순번'!B24)+COUNTIF([1]감독시간표!$T$25:$V$25,'[1]감독 순번'!B24)+COUNTIF([1]감독시간표!$Y$25:$AA$25,'[1]감독 순번'!B24)+COUNTIF([1]감독시간표!$E$28:$S$28,'[1]감독 순번'!B24)+COUNTIF([1]감독시간표!$AA$28:$AC$28,'[1]감독 순번'!B24)+COUNTIF([1]감독시간표!$AF$28:$AI$28,'[1]감독 순번'!B24)+COUNTIF([1]감독시간표!$E$34:$P$34,'[1]감독 순번'!B24)+COUNTIF([1]감독시간표!$AF$34:$AH$34,'[1]감독 순번'!B24)+COUNTIF([1]감독시간표!$E$40:$S$40,'[1]감독 순번'!B24)+COUNTIF([1]감독시간표!$Y$40:$AE$40,'[1]감독 순번'!B24)+COUNTIF([1]감독시간표!$E$46:$Q$46,'[1]감독 순번'!B24)+COUNTIF([1]감독시간표!$Y$46:$AC$46,'[1]감독 순번'!B24)</f>
        <v>#VALUE!</v>
      </c>
      <c r="E24" s="177" t="e">
        <f>COUNTIF([1]감독시간표!$L$11:$S$11,'[1]감독 순번'!B24)+COUNTIF([1]감독시간표!$Y$11:$AE$11,'[1]감독 순번'!B24)+COUNTIF([1]감독시간표!$E$17:$K$17,'[1]감독 순번'!B24)+COUNTIF([1]감독시간표!$T$17:$V$17,'[1]감독 순번'!B24)+COUNTIF([1]감독시간표!$AI$17,'[1]감독 순번'!B24)+COUNTIF([1]감독시간표!$E$20:$S$20,'[1]감독 순번'!B24)+COUNTIF([1]감독시간표!$Y$20:$AE$20,'[1]감독 순번'!B24)+COUNTIF([1]감독시간표!$E$26:$K$26,'[1]감독 순번'!B24)+COUNTIF([1]감독시간표!$T$26:$V$26,'[1]감독 순번'!B24)+COUNTIF([1]감독시간표!$Y$26:$AA$26,'[1]감독 순번'!B24)+COUNTIF([1]감독시간표!$E$29:$S$29,'[1]감독 순번'!B24)+COUNTIF([1]감독시간표!$AA$29:$AC$29,'[1]감독 순번'!B24)+COUNTIF([1]감독시간표!$AF$29:$AI$29,'[1]감독 순번'!B24)+COUNTIF([1]감독시간표!$E$35:$P$35,'[1]감독 순번'!B24)+COUNTIF([1]감독시간표!$AF$35:$AH$35,'[1]감독 순번'!B24)+COUNTIF([1]감독시간표!$E$41:$S$41,'[1]감독 순번'!B24)+COUNTIF([1]감독시간표!$Y$41:$AE$41,'[1]감독 순번'!B24)+COUNTIF([1]감독시간표!$E$47:$Q$47,'[1]감독 순번'!B24)+COUNTIF([1]감독시간표!$Y$47:$AC$47,'[1]감독 순번'!B24)</f>
        <v>#VALUE!</v>
      </c>
      <c r="F24" s="177" t="e">
        <f>COUNTIF([1]감독시간표!$E$10:$K$11,'[1]감독 순번'!B24)+COUNTIF([1]감독시간표!$E$13:$S$14,'[1]감독 순번'!B24)+COUNTIF([1]감독시간표!$Y$13:$AE$14,'[1]감독 순번'!B24)+COUNTIF([1]감독시간표!$L$16:$S$17,'[1]감독 순번'!B24)+COUNTIF([1]감독시간표!$Y$16:$AE$17,'[1]감독 순번'!B24)+COUNTIF([1]감독시간표!$E$22:$S$23,'[1]감독 순번'!B24)+COUNTIF([1]감독시간표!$Y$22:$AE$23,'[1]감독 순번'!B24)+COUNTIF([1]감독시간표!$L$25:$S$26,'[1]감독 순번'!B24)+COUNTIF([1]감독시간표!$AJ$25:$AK$26,'[1]감독 순번'!B24)+COUNTIF([1]감독시간표!$E$31:$S$32,'[1]감독 순번'!B24)+COUNTIF([1]감독시간표!$Y$31:$AE$32,'[1]감독 순번'!B24)+COUNTIF([1]감독시간표!$W$34:$AE$35,'[1]감독 순번'!B24)+COUNTIF([1]감독시간표!$E$37:$S$38,'[1]감독 순번'!B24)+COUNTIF([1]감독시간표!$Y$37:$AE$38,'[1]감독 순번'!B24)+COUNTIF([1]감독시간표!$E$43:$S$44,'[1]감독 순번'!B24)+COUNTIF([1]감독시간표!$Y$43:$AE$44,'[1]감독 순번'!B24)+COUNTIF([1]감독시간표!$X$46,'[1]감독 순번'!B24)+COUNTIF([1]감독시간표!$AG$46,'[1]감독 순번'!B24)</f>
        <v>#VALUE!</v>
      </c>
      <c r="G24" s="178" t="e">
        <f t="shared" si="0"/>
        <v>#VALUE!</v>
      </c>
      <c r="H24" s="179"/>
      <c r="I24" s="177"/>
      <c r="J24" s="177"/>
      <c r="K24" s="180"/>
      <c r="L24" s="181"/>
      <c r="M24" s="182"/>
      <c r="N24" s="182"/>
      <c r="O24" s="182"/>
      <c r="P24" s="185"/>
      <c r="Q24" s="51"/>
    </row>
    <row r="25" spans="2:17" ht="19.95" customHeight="1">
      <c r="B25" s="184">
        <v>21</v>
      </c>
      <c r="C25" s="176" t="str">
        <f>[1]감독시간표!M52</f>
        <v>윤나라</v>
      </c>
      <c r="D25" s="177" t="e">
        <f>COUNTIF([1]감독시간표!$L$10:$S$10,'[1]감독 순번'!B25)+COUNTIF([1]감독시간표!$Y$10:$AE$10,'[1]감독 순번'!B25)+COUNTIF([1]감독시간표!$E$16:$K$16,'[1]감독 순번'!B25)+COUNTIF([1]감독시간표!$T$16:$V$16,'[1]감독 순번'!B25)+COUNTIF([1]감독시간표!$AI$16,'[1]감독 순번'!B25)+COUNTIF([1]감독시간표!$E$19:$S$19,'[1]감독 순번'!B25)+COUNTIF([1]감독시간표!$Y$19:$AE$19,'[1]감독 순번'!B25)+COUNTIF([1]감독시간표!$E$25:$K$25,'[1]감독 순번'!B25)+COUNTIF([1]감독시간표!$T$25:$V$25,'[1]감독 순번'!B25)+COUNTIF([1]감독시간표!$Y$25:$AA$25,'[1]감독 순번'!B25)+COUNTIF([1]감독시간표!$E$28:$S$28,'[1]감독 순번'!B25)+COUNTIF([1]감독시간표!$AA$28:$AC$28,'[1]감독 순번'!B25)+COUNTIF([1]감독시간표!$AF$28:$AI$28,'[1]감독 순번'!B25)+COUNTIF([1]감독시간표!$E$34:$P$34,'[1]감독 순번'!B25)+COUNTIF([1]감독시간표!$AF$34:$AH$34,'[1]감독 순번'!B25)+COUNTIF([1]감독시간표!$E$40:$S$40,'[1]감독 순번'!B25)+COUNTIF([1]감독시간표!$Y$40:$AE$40,'[1]감독 순번'!B25)+COUNTIF([1]감독시간표!$E$46:$Q$46,'[1]감독 순번'!B25)+COUNTIF([1]감독시간표!$Y$46:$AC$46,'[1]감독 순번'!B25)</f>
        <v>#VALUE!</v>
      </c>
      <c r="E25" s="177" t="e">
        <f>COUNTIF([1]감독시간표!$L$11:$S$11,'[1]감독 순번'!B25)+COUNTIF([1]감독시간표!$Y$11:$AE$11,'[1]감독 순번'!B25)+COUNTIF([1]감독시간표!$E$17:$K$17,'[1]감독 순번'!B25)+COUNTIF([1]감독시간표!$T$17:$V$17,'[1]감독 순번'!B25)+COUNTIF([1]감독시간표!$AI$17,'[1]감독 순번'!B25)+COUNTIF([1]감독시간표!$E$20:$S$20,'[1]감독 순번'!B25)+COUNTIF([1]감독시간표!$Y$20:$AE$20,'[1]감독 순번'!B25)+COUNTIF([1]감독시간표!$E$26:$K$26,'[1]감독 순번'!B25)+COUNTIF([1]감독시간표!$T$26:$V$26,'[1]감독 순번'!B25)+COUNTIF([1]감독시간표!$Y$26:$AA$26,'[1]감독 순번'!B25)+COUNTIF([1]감독시간표!$E$29:$S$29,'[1]감독 순번'!B25)+COUNTIF([1]감독시간표!$AA$29:$AC$29,'[1]감독 순번'!B25)+COUNTIF([1]감독시간표!$AF$29:$AI$29,'[1]감독 순번'!B25)+COUNTIF([1]감독시간표!$E$35:$P$35,'[1]감독 순번'!B25)+COUNTIF([1]감독시간표!$AF$35:$AH$35,'[1]감독 순번'!B25)+COUNTIF([1]감독시간표!$E$41:$S$41,'[1]감독 순번'!B25)+COUNTIF([1]감독시간표!$Y$41:$AE$41,'[1]감독 순번'!B25)+COUNTIF([1]감독시간표!$E$47:$Q$47,'[1]감독 순번'!B25)+COUNTIF([1]감독시간표!$Y$47:$AC$47,'[1]감독 순번'!B25)</f>
        <v>#VALUE!</v>
      </c>
      <c r="F25" s="177" t="e">
        <f>COUNTIF([1]감독시간표!$E$10:$K$11,'[1]감독 순번'!B25)+COUNTIF([1]감독시간표!$E$13:$S$14,'[1]감독 순번'!B25)+COUNTIF([1]감독시간표!$Y$13:$AE$14,'[1]감독 순번'!B25)+COUNTIF([1]감독시간표!$L$16:$S$17,'[1]감독 순번'!B25)+COUNTIF([1]감독시간표!$Y$16:$AE$17,'[1]감독 순번'!B25)+COUNTIF([1]감독시간표!$E$22:$S$23,'[1]감독 순번'!B25)+COUNTIF([1]감독시간표!$Y$22:$AE$23,'[1]감독 순번'!B25)+COUNTIF([1]감독시간표!$L$25:$S$26,'[1]감독 순번'!B25)+COUNTIF([1]감독시간표!$AJ$25:$AK$26,'[1]감독 순번'!B25)+COUNTIF([1]감독시간표!$E$31:$S$32,'[1]감독 순번'!B25)+COUNTIF([1]감독시간표!$Y$31:$AE$32,'[1]감독 순번'!B25)+COUNTIF([1]감독시간표!$W$34:$AE$35,'[1]감독 순번'!B25)+COUNTIF([1]감독시간표!$E$37:$S$38,'[1]감독 순번'!B25)+COUNTIF([1]감독시간표!$Y$37:$AE$38,'[1]감독 순번'!B25)+COUNTIF([1]감독시간표!$E$43:$S$44,'[1]감독 순번'!B25)+COUNTIF([1]감독시간표!$Y$43:$AE$44,'[1]감독 순번'!B25)+COUNTIF([1]감독시간표!$X$46,'[1]감독 순번'!B25)+COUNTIF([1]감독시간표!$AG$46,'[1]감독 순번'!B25)</f>
        <v>#VALUE!</v>
      </c>
      <c r="G25" s="178" t="e">
        <f t="shared" si="0"/>
        <v>#VALUE!</v>
      </c>
      <c r="H25" s="179"/>
      <c r="I25" s="177"/>
      <c r="J25" s="177"/>
      <c r="K25" s="180"/>
      <c r="L25" s="181"/>
      <c r="M25" s="182"/>
      <c r="N25" s="182"/>
      <c r="O25" s="182"/>
      <c r="P25" s="185" t="s">
        <v>2296</v>
      </c>
      <c r="Q25" s="51"/>
    </row>
    <row r="26" spans="2:17" ht="19.95" customHeight="1">
      <c r="B26" s="184">
        <v>22</v>
      </c>
      <c r="C26" s="176" t="str">
        <f>[1]감독시간표!M53</f>
        <v>조대현</v>
      </c>
      <c r="D26" s="177" t="e">
        <f>COUNTIF([1]감독시간표!$L$10:$S$10,'[1]감독 순번'!B26)+COUNTIF([1]감독시간표!$Y$10:$AE$10,'[1]감독 순번'!B26)+COUNTIF([1]감독시간표!$E$16:$K$16,'[1]감독 순번'!B26)+COUNTIF([1]감독시간표!$T$16:$V$16,'[1]감독 순번'!B26)+COUNTIF([1]감독시간표!$AI$16,'[1]감독 순번'!B26)+COUNTIF([1]감독시간표!$E$19:$S$19,'[1]감독 순번'!B26)+COUNTIF([1]감독시간표!$Y$19:$AE$19,'[1]감독 순번'!B26)+COUNTIF([1]감독시간표!$E$25:$K$25,'[1]감독 순번'!B26)+COUNTIF([1]감독시간표!$T$25:$V$25,'[1]감독 순번'!B26)+COUNTIF([1]감독시간표!$Y$25:$AA$25,'[1]감독 순번'!B26)+COUNTIF([1]감독시간표!$E$28:$S$28,'[1]감독 순번'!B26)+COUNTIF([1]감독시간표!$AA$28:$AC$28,'[1]감독 순번'!B26)+COUNTIF([1]감독시간표!$AF$28:$AI$28,'[1]감독 순번'!B26)+COUNTIF([1]감독시간표!$E$34:$P$34,'[1]감독 순번'!B26)+COUNTIF([1]감독시간표!$AF$34:$AH$34,'[1]감독 순번'!B26)+COUNTIF([1]감독시간표!$E$40:$S$40,'[1]감독 순번'!B26)+COUNTIF([1]감독시간표!$Y$40:$AE$40,'[1]감독 순번'!B26)+COUNTIF([1]감독시간표!$E$46:$Q$46,'[1]감독 순번'!B26)+COUNTIF([1]감독시간표!$Y$46:$AC$46,'[1]감독 순번'!B26)</f>
        <v>#VALUE!</v>
      </c>
      <c r="E26" s="177" t="e">
        <f>COUNTIF([1]감독시간표!$L$11:$S$11,'[1]감독 순번'!B26)+COUNTIF([1]감독시간표!$Y$11:$AE$11,'[1]감독 순번'!B26)+COUNTIF([1]감독시간표!$E$17:$K$17,'[1]감독 순번'!B26)+COUNTIF([1]감독시간표!$T$17:$V$17,'[1]감독 순번'!B26)+COUNTIF([1]감독시간표!$AI$17,'[1]감독 순번'!B26)+COUNTIF([1]감독시간표!$E$20:$S$20,'[1]감독 순번'!B26)+COUNTIF([1]감독시간표!$Y$20:$AE$20,'[1]감독 순번'!B26)+COUNTIF([1]감독시간표!$E$26:$K$26,'[1]감독 순번'!B26)+COUNTIF([1]감독시간표!$T$26:$V$26,'[1]감독 순번'!B26)+COUNTIF([1]감독시간표!$Y$26:$AA$26,'[1]감독 순번'!B26)+COUNTIF([1]감독시간표!$E$29:$S$29,'[1]감독 순번'!B26)+COUNTIF([1]감독시간표!$AA$29:$AC$29,'[1]감독 순번'!B26)+COUNTIF([1]감독시간표!$AF$29:$AI$29,'[1]감독 순번'!B26)+COUNTIF([1]감독시간표!$E$35:$P$35,'[1]감독 순번'!B26)+COUNTIF([1]감독시간표!$AF$35:$AH$35,'[1]감독 순번'!B26)+COUNTIF([1]감독시간표!$E$41:$S$41,'[1]감독 순번'!B26)+COUNTIF([1]감독시간표!$Y$41:$AE$41,'[1]감독 순번'!B26)+COUNTIF([1]감독시간표!$E$47:$Q$47,'[1]감독 순번'!B26)+COUNTIF([1]감독시간표!$Y$47:$AC$47,'[1]감독 순번'!B26)</f>
        <v>#VALUE!</v>
      </c>
      <c r="F26" s="177" t="e">
        <f>COUNTIF([1]감독시간표!$E$10:$K$11,'[1]감독 순번'!B26)+COUNTIF([1]감독시간표!$E$13:$S$14,'[1]감독 순번'!B26)+COUNTIF([1]감독시간표!$Y$13:$AE$14,'[1]감독 순번'!B26)+COUNTIF([1]감독시간표!$L$16:$S$17,'[1]감독 순번'!B26)+COUNTIF([1]감독시간표!$Y$16:$AE$17,'[1]감독 순번'!B26)+COUNTIF([1]감독시간표!$E$22:$S$23,'[1]감독 순번'!B26)+COUNTIF([1]감독시간표!$Y$22:$AE$23,'[1]감독 순번'!B26)+COUNTIF([1]감독시간표!$L$25:$S$26,'[1]감독 순번'!B26)+COUNTIF([1]감독시간표!$AJ$25:$AK$26,'[1]감독 순번'!B26)+COUNTIF([1]감독시간표!$E$31:$S$32,'[1]감독 순번'!B26)+COUNTIF([1]감독시간표!$Y$31:$AE$32,'[1]감독 순번'!B26)+COUNTIF([1]감독시간표!$W$34:$AE$35,'[1]감독 순번'!B26)+COUNTIF([1]감독시간표!$E$37:$S$38,'[1]감독 순번'!B26)+COUNTIF([1]감독시간표!$Y$37:$AE$38,'[1]감독 순번'!B26)+COUNTIF([1]감독시간표!$E$43:$S$44,'[1]감독 순번'!B26)+COUNTIF([1]감독시간표!$Y$43:$AE$44,'[1]감독 순번'!B26)+COUNTIF([1]감독시간표!$X$46,'[1]감독 순번'!B26)+COUNTIF([1]감독시간표!$AG$46,'[1]감독 순번'!B26)</f>
        <v>#VALUE!</v>
      </c>
      <c r="G26" s="178" t="e">
        <f t="shared" si="0"/>
        <v>#VALUE!</v>
      </c>
      <c r="H26" s="179"/>
      <c r="I26" s="177"/>
      <c r="J26" s="177"/>
      <c r="K26" s="180"/>
      <c r="L26" s="181"/>
      <c r="M26" s="182"/>
      <c r="N26" s="182"/>
      <c r="O26" s="182"/>
      <c r="P26" s="188" t="s">
        <v>2297</v>
      </c>
      <c r="Q26" s="51"/>
    </row>
    <row r="27" spans="2:17" ht="19.95" customHeight="1">
      <c r="B27" s="184">
        <v>23</v>
      </c>
      <c r="C27" s="176" t="str">
        <f>[1]감독시간표!M54</f>
        <v>이의영</v>
      </c>
      <c r="D27" s="177" t="e">
        <f>COUNTIF([1]감독시간표!$L$10:$S$10,'[1]감독 순번'!B27)+COUNTIF([1]감독시간표!$Y$10:$AE$10,'[1]감독 순번'!B27)+COUNTIF([1]감독시간표!$E$16:$K$16,'[1]감독 순번'!B27)+COUNTIF([1]감독시간표!$T$16:$V$16,'[1]감독 순번'!B27)+COUNTIF([1]감독시간표!$AI$16,'[1]감독 순번'!B27)+COUNTIF([1]감독시간표!$E$19:$S$19,'[1]감독 순번'!B27)+COUNTIF([1]감독시간표!$Y$19:$AE$19,'[1]감독 순번'!B27)+COUNTIF([1]감독시간표!$E$25:$K$25,'[1]감독 순번'!B27)+COUNTIF([1]감독시간표!$T$25:$V$25,'[1]감독 순번'!B27)+COUNTIF([1]감독시간표!$Y$25:$AA$25,'[1]감독 순번'!B27)+COUNTIF([1]감독시간표!$E$28:$S$28,'[1]감독 순번'!B27)+COUNTIF([1]감독시간표!$AA$28:$AC$28,'[1]감독 순번'!B27)+COUNTIF([1]감독시간표!$AF$28:$AI$28,'[1]감독 순번'!B27)+COUNTIF([1]감독시간표!$E$34:$P$34,'[1]감독 순번'!B27)+COUNTIF([1]감독시간표!$AF$34:$AH$34,'[1]감독 순번'!B27)+COUNTIF([1]감독시간표!$E$40:$S$40,'[1]감독 순번'!B27)+COUNTIF([1]감독시간표!$Y$40:$AE$40,'[1]감독 순번'!B27)+COUNTIF([1]감독시간표!$E$46:$Q$46,'[1]감독 순번'!B27)+COUNTIF([1]감독시간표!$Y$46:$AC$46,'[1]감독 순번'!B27)</f>
        <v>#VALUE!</v>
      </c>
      <c r="E27" s="177" t="e">
        <f>COUNTIF([1]감독시간표!$L$11:$S$11,'[1]감독 순번'!B27)+COUNTIF([1]감독시간표!$Y$11:$AE$11,'[1]감독 순번'!B27)+COUNTIF([1]감독시간표!$E$17:$K$17,'[1]감독 순번'!B27)+COUNTIF([1]감독시간표!$T$17:$V$17,'[1]감독 순번'!B27)+COUNTIF([1]감독시간표!$AI$17,'[1]감독 순번'!B27)+COUNTIF([1]감독시간표!$E$20:$S$20,'[1]감독 순번'!B27)+COUNTIF([1]감독시간표!$Y$20:$AE$20,'[1]감독 순번'!B27)+COUNTIF([1]감독시간표!$E$26:$K$26,'[1]감독 순번'!B27)+COUNTIF([1]감독시간표!$T$26:$V$26,'[1]감독 순번'!B27)+COUNTIF([1]감독시간표!$Y$26:$AA$26,'[1]감독 순번'!B27)+COUNTIF([1]감독시간표!$E$29:$S$29,'[1]감독 순번'!B27)+COUNTIF([1]감독시간표!$AA$29:$AC$29,'[1]감독 순번'!B27)+COUNTIF([1]감독시간표!$AF$29:$AI$29,'[1]감독 순번'!B27)+COUNTIF([1]감독시간표!$E$35:$P$35,'[1]감독 순번'!B27)+COUNTIF([1]감독시간표!$AF$35:$AH$35,'[1]감독 순번'!B27)+COUNTIF([1]감독시간표!$E$41:$S$41,'[1]감독 순번'!B27)+COUNTIF([1]감독시간표!$Y$41:$AE$41,'[1]감독 순번'!B27)+COUNTIF([1]감독시간표!$E$47:$Q$47,'[1]감독 순번'!B27)+COUNTIF([1]감독시간표!$Y$47:$AC$47,'[1]감독 순번'!B27)</f>
        <v>#VALUE!</v>
      </c>
      <c r="F27" s="177" t="e">
        <f>COUNTIF([1]감독시간표!$E$10:$K$11,'[1]감독 순번'!B27)+COUNTIF([1]감독시간표!$E$13:$S$14,'[1]감독 순번'!B27)+COUNTIF([1]감독시간표!$Y$13:$AE$14,'[1]감독 순번'!B27)+COUNTIF([1]감독시간표!$L$16:$S$17,'[1]감독 순번'!B27)+COUNTIF([1]감독시간표!$Y$16:$AE$17,'[1]감독 순번'!B27)+COUNTIF([1]감독시간표!$E$22:$S$23,'[1]감독 순번'!B27)+COUNTIF([1]감독시간표!$Y$22:$AE$23,'[1]감독 순번'!B27)+COUNTIF([1]감독시간표!$L$25:$S$26,'[1]감독 순번'!B27)+COUNTIF([1]감독시간표!$AJ$25:$AK$26,'[1]감독 순번'!B27)+COUNTIF([1]감독시간표!$E$31:$S$32,'[1]감독 순번'!B27)+COUNTIF([1]감독시간표!$Y$31:$AE$32,'[1]감독 순번'!B27)+COUNTIF([1]감독시간표!$W$34:$AE$35,'[1]감독 순번'!B27)+COUNTIF([1]감독시간표!$E$37:$S$38,'[1]감독 순번'!B27)+COUNTIF([1]감독시간표!$Y$37:$AE$38,'[1]감독 순번'!B27)+COUNTIF([1]감독시간표!$E$43:$S$44,'[1]감독 순번'!B27)+COUNTIF([1]감독시간표!$Y$43:$AE$44,'[1]감독 순번'!B27)+COUNTIF([1]감독시간표!$X$46,'[1]감독 순번'!B27)+COUNTIF([1]감독시간표!$AG$46,'[1]감독 순번'!B27)</f>
        <v>#VALUE!</v>
      </c>
      <c r="G27" s="178" t="e">
        <f t="shared" si="0"/>
        <v>#VALUE!</v>
      </c>
      <c r="H27" s="179"/>
      <c r="I27" s="177"/>
      <c r="J27" s="177"/>
      <c r="K27" s="180"/>
      <c r="L27" s="181"/>
      <c r="M27" s="182"/>
      <c r="N27" s="182"/>
      <c r="O27" s="182"/>
      <c r="P27" s="189" t="s">
        <v>2298</v>
      </c>
      <c r="Q27" s="51"/>
    </row>
    <row r="28" spans="2:17" ht="19.95" customHeight="1">
      <c r="B28" s="184">
        <v>24</v>
      </c>
      <c r="C28" s="176" t="str">
        <f>[1]감독시간표!M55</f>
        <v>김종미</v>
      </c>
      <c r="D28" s="177" t="e">
        <f>COUNTIF([1]감독시간표!$L$10:$S$10,'[1]감독 순번'!B28)+COUNTIF([1]감독시간표!$Y$10:$AE$10,'[1]감독 순번'!B28)+COUNTIF([1]감독시간표!$E$16:$K$16,'[1]감독 순번'!B28)+COUNTIF([1]감독시간표!$T$16:$V$16,'[1]감독 순번'!B28)+COUNTIF([1]감독시간표!$AI$16,'[1]감독 순번'!B28)+COUNTIF([1]감독시간표!$E$19:$S$19,'[1]감독 순번'!B28)+COUNTIF([1]감독시간표!$Y$19:$AE$19,'[1]감독 순번'!B28)+COUNTIF([1]감독시간표!$E$25:$K$25,'[1]감독 순번'!B28)+COUNTIF([1]감독시간표!$T$25:$V$25,'[1]감독 순번'!B28)+COUNTIF([1]감독시간표!$Y$25:$AA$25,'[1]감독 순번'!B28)+COUNTIF([1]감독시간표!$E$28:$S$28,'[1]감독 순번'!B28)+COUNTIF([1]감독시간표!$AA$28:$AC$28,'[1]감독 순번'!B28)+COUNTIF([1]감독시간표!$AF$28:$AI$28,'[1]감독 순번'!B28)+COUNTIF([1]감독시간표!$E$34:$P$34,'[1]감독 순번'!B28)+COUNTIF([1]감독시간표!$AF$34:$AH$34,'[1]감독 순번'!B28)+COUNTIF([1]감독시간표!$E$40:$S$40,'[1]감독 순번'!B28)+COUNTIF([1]감독시간표!$Y$40:$AE$40,'[1]감독 순번'!B28)+COUNTIF([1]감독시간표!$E$46:$Q$46,'[1]감독 순번'!B28)+COUNTIF([1]감독시간표!$Y$46:$AC$46,'[1]감독 순번'!B28)</f>
        <v>#VALUE!</v>
      </c>
      <c r="E28" s="177" t="e">
        <f>COUNTIF([1]감독시간표!$L$11:$S$11,'[1]감독 순번'!B28)+COUNTIF([1]감독시간표!$Y$11:$AE$11,'[1]감독 순번'!B28)+COUNTIF([1]감독시간표!$E$17:$K$17,'[1]감독 순번'!B28)+COUNTIF([1]감독시간표!$T$17:$V$17,'[1]감독 순번'!B28)+COUNTIF([1]감독시간표!$AI$17,'[1]감독 순번'!B28)+COUNTIF([1]감독시간표!$E$20:$S$20,'[1]감독 순번'!B28)+COUNTIF([1]감독시간표!$Y$20:$AE$20,'[1]감독 순번'!B28)+COUNTIF([1]감독시간표!$E$26:$K$26,'[1]감독 순번'!B28)+COUNTIF([1]감독시간표!$T$26:$V$26,'[1]감독 순번'!B28)+COUNTIF([1]감독시간표!$Y$26:$AA$26,'[1]감독 순번'!B28)+COUNTIF([1]감독시간표!$E$29:$S$29,'[1]감독 순번'!B28)+COUNTIF([1]감독시간표!$AA$29:$AC$29,'[1]감독 순번'!B28)+COUNTIF([1]감독시간표!$AF$29:$AI$29,'[1]감독 순번'!B28)+COUNTIF([1]감독시간표!$E$35:$P$35,'[1]감독 순번'!B28)+COUNTIF([1]감독시간표!$AF$35:$AH$35,'[1]감독 순번'!B28)+COUNTIF([1]감독시간표!$E$41:$S$41,'[1]감독 순번'!B28)+COUNTIF([1]감독시간표!$Y$41:$AE$41,'[1]감독 순번'!B28)+COUNTIF([1]감독시간표!$E$47:$Q$47,'[1]감독 순번'!B28)+COUNTIF([1]감독시간표!$Y$47:$AC$47,'[1]감독 순번'!B28)</f>
        <v>#VALUE!</v>
      </c>
      <c r="F28" s="177" t="e">
        <f>COUNTIF([1]감독시간표!$E$10:$K$11,'[1]감독 순번'!B28)+COUNTIF([1]감독시간표!$E$13:$S$14,'[1]감독 순번'!B28)+COUNTIF([1]감독시간표!$Y$13:$AE$14,'[1]감독 순번'!B28)+COUNTIF([1]감독시간표!$L$16:$S$17,'[1]감독 순번'!B28)+COUNTIF([1]감독시간표!$Y$16:$AE$17,'[1]감독 순번'!B28)+COUNTIF([1]감독시간표!$E$22:$S$23,'[1]감독 순번'!B28)+COUNTIF([1]감독시간표!$Y$22:$AE$23,'[1]감독 순번'!B28)+COUNTIF([1]감독시간표!$L$25:$S$26,'[1]감독 순번'!B28)+COUNTIF([1]감독시간표!$AJ$25:$AK$26,'[1]감독 순번'!B28)+COUNTIF([1]감독시간표!$E$31:$S$32,'[1]감독 순번'!B28)+COUNTIF([1]감독시간표!$Y$31:$AE$32,'[1]감독 순번'!B28)+COUNTIF([1]감독시간표!$W$34:$AE$35,'[1]감독 순번'!B28)+COUNTIF([1]감독시간표!$E$37:$S$38,'[1]감독 순번'!B28)+COUNTIF([1]감독시간표!$Y$37:$AE$38,'[1]감독 순번'!B28)+COUNTIF([1]감독시간표!$E$43:$S$44,'[1]감독 순번'!B28)+COUNTIF([1]감독시간표!$Y$43:$AE$44,'[1]감독 순번'!B28)+COUNTIF([1]감독시간표!$X$46,'[1]감독 순번'!B28)+COUNTIF([1]감독시간표!$AG$46,'[1]감독 순번'!B28)</f>
        <v>#VALUE!</v>
      </c>
      <c r="G28" s="178" t="e">
        <f t="shared" si="0"/>
        <v>#VALUE!</v>
      </c>
      <c r="H28" s="179"/>
      <c r="I28" s="177"/>
      <c r="J28" s="177"/>
      <c r="K28" s="180"/>
      <c r="L28" s="181"/>
      <c r="M28" s="182"/>
      <c r="N28" s="182"/>
      <c r="O28" s="182"/>
      <c r="P28" s="189" t="s">
        <v>2299</v>
      </c>
      <c r="Q28" s="51"/>
    </row>
    <row r="29" spans="2:17" ht="19.95" customHeight="1">
      <c r="B29" s="184">
        <v>25</v>
      </c>
      <c r="C29" s="176" t="str">
        <f>[1]감독시간표!M56</f>
        <v>서해지</v>
      </c>
      <c r="D29" s="177" t="e">
        <f>COUNTIF([1]감독시간표!$L$10:$S$10,'[1]감독 순번'!B29)+COUNTIF([1]감독시간표!$Y$10:$AE$10,'[1]감독 순번'!B29)+COUNTIF([1]감독시간표!$E$16:$K$16,'[1]감독 순번'!B29)+COUNTIF([1]감독시간표!$T$16:$V$16,'[1]감독 순번'!B29)+COUNTIF([1]감독시간표!$AI$16,'[1]감독 순번'!B29)+COUNTIF([1]감독시간표!$E$19:$S$19,'[1]감독 순번'!B29)+COUNTIF([1]감독시간표!$Y$19:$AE$19,'[1]감독 순번'!B29)+COUNTIF([1]감독시간표!$E$25:$K$25,'[1]감독 순번'!B29)+COUNTIF([1]감독시간표!$T$25:$V$25,'[1]감독 순번'!B29)+COUNTIF([1]감독시간표!$Y$25:$AA$25,'[1]감독 순번'!B29)+COUNTIF([1]감독시간표!$E$28:$S$28,'[1]감독 순번'!B29)+COUNTIF([1]감독시간표!$AA$28:$AC$28,'[1]감독 순번'!B29)+COUNTIF([1]감독시간표!$AF$28:$AI$28,'[1]감독 순번'!B29)+COUNTIF([1]감독시간표!$E$34:$P$34,'[1]감독 순번'!B29)+COUNTIF([1]감독시간표!$AF$34:$AH$34,'[1]감독 순번'!B29)+COUNTIF([1]감독시간표!$E$40:$S$40,'[1]감독 순번'!B29)+COUNTIF([1]감독시간표!$Y$40:$AE$40,'[1]감독 순번'!B29)+COUNTIF([1]감독시간표!$E$46:$Q$46,'[1]감독 순번'!B29)+COUNTIF([1]감독시간표!$Y$46:$AC$46,'[1]감독 순번'!B29)</f>
        <v>#VALUE!</v>
      </c>
      <c r="E29" s="177" t="e">
        <f>COUNTIF([1]감독시간표!$L$11:$S$11,'[1]감독 순번'!B29)+COUNTIF([1]감독시간표!$Y$11:$AE$11,'[1]감독 순번'!B29)+COUNTIF([1]감독시간표!$E$17:$K$17,'[1]감독 순번'!B29)+COUNTIF([1]감독시간표!$T$17:$V$17,'[1]감독 순번'!B29)+COUNTIF([1]감독시간표!$AI$17,'[1]감독 순번'!B29)+COUNTIF([1]감독시간표!$E$20:$S$20,'[1]감독 순번'!B29)+COUNTIF([1]감독시간표!$Y$20:$AE$20,'[1]감독 순번'!B29)+COUNTIF([1]감독시간표!$E$26:$K$26,'[1]감독 순번'!B29)+COUNTIF([1]감독시간표!$T$26:$V$26,'[1]감독 순번'!B29)+COUNTIF([1]감독시간표!$Y$26:$AA$26,'[1]감독 순번'!B29)+COUNTIF([1]감독시간표!$E$29:$S$29,'[1]감독 순번'!B29)+COUNTIF([1]감독시간표!$AA$29:$AC$29,'[1]감독 순번'!B29)+COUNTIF([1]감독시간표!$AF$29:$AI$29,'[1]감독 순번'!B29)+COUNTIF([1]감독시간표!$E$35:$P$35,'[1]감독 순번'!B29)+COUNTIF([1]감독시간표!$AF$35:$AH$35,'[1]감독 순번'!B29)+COUNTIF([1]감독시간표!$E$41:$S$41,'[1]감독 순번'!B29)+COUNTIF([1]감독시간표!$Y$41:$AE$41,'[1]감독 순번'!B29)+COUNTIF([1]감독시간표!$E$47:$Q$47,'[1]감독 순번'!B29)+COUNTIF([1]감독시간표!$Y$47:$AC$47,'[1]감독 순번'!B29)</f>
        <v>#VALUE!</v>
      </c>
      <c r="F29" s="177" t="e">
        <f>COUNTIF([1]감독시간표!$E$10:$K$11,'[1]감독 순번'!B29)+COUNTIF([1]감독시간표!$E$13:$S$14,'[1]감독 순번'!B29)+COUNTIF([1]감독시간표!$Y$13:$AE$14,'[1]감독 순번'!B29)+COUNTIF([1]감독시간표!$L$16:$S$17,'[1]감독 순번'!B29)+COUNTIF([1]감독시간표!$Y$16:$AE$17,'[1]감독 순번'!B29)+COUNTIF([1]감독시간표!$E$22:$S$23,'[1]감독 순번'!B29)+COUNTIF([1]감독시간표!$Y$22:$AE$23,'[1]감독 순번'!B29)+COUNTIF([1]감독시간표!$L$25:$S$26,'[1]감독 순번'!B29)+COUNTIF([1]감독시간표!$AJ$25:$AK$26,'[1]감독 순번'!B29)+COUNTIF([1]감독시간표!$E$31:$S$32,'[1]감독 순번'!B29)+COUNTIF([1]감독시간표!$Y$31:$AE$32,'[1]감독 순번'!B29)+COUNTIF([1]감독시간표!$W$34:$AE$35,'[1]감독 순번'!B29)+COUNTIF([1]감독시간표!$E$37:$S$38,'[1]감독 순번'!B29)+COUNTIF([1]감독시간표!$Y$37:$AE$38,'[1]감독 순번'!B29)+COUNTIF([1]감독시간표!$E$43:$S$44,'[1]감독 순번'!B29)+COUNTIF([1]감독시간표!$Y$43:$AE$44,'[1]감독 순번'!B29)+COUNTIF([1]감독시간표!$X$46,'[1]감독 순번'!B29)+COUNTIF([1]감독시간표!$AG$46,'[1]감독 순번'!B29)</f>
        <v>#VALUE!</v>
      </c>
      <c r="G29" s="178" t="e">
        <f t="shared" si="0"/>
        <v>#VALUE!</v>
      </c>
      <c r="H29" s="179"/>
      <c r="I29" s="177"/>
      <c r="J29" s="177"/>
      <c r="K29" s="180"/>
      <c r="L29" s="181"/>
      <c r="M29" s="182"/>
      <c r="N29" s="182"/>
      <c r="O29" s="182"/>
      <c r="P29" s="185"/>
      <c r="Q29" s="51"/>
    </row>
    <row r="30" spans="2:17" ht="19.95" customHeight="1">
      <c r="B30" s="184">
        <v>26</v>
      </c>
      <c r="C30" s="176" t="str">
        <f>[1]감독시간표!M57</f>
        <v>정석환</v>
      </c>
      <c r="D30" s="177" t="e">
        <f>COUNTIF([1]감독시간표!$L$10:$S$10,'[1]감독 순번'!B30)+COUNTIF([1]감독시간표!$Y$10:$AE$10,'[1]감독 순번'!B30)+COUNTIF([1]감독시간표!$E$16:$K$16,'[1]감독 순번'!B30)+COUNTIF([1]감독시간표!$T$16:$V$16,'[1]감독 순번'!B30)+COUNTIF([1]감독시간표!$AI$16,'[1]감독 순번'!B30)+COUNTIF([1]감독시간표!$E$19:$S$19,'[1]감독 순번'!B30)+COUNTIF([1]감독시간표!$Y$19:$AE$19,'[1]감독 순번'!B30)+COUNTIF([1]감독시간표!$E$25:$K$25,'[1]감독 순번'!B30)+COUNTIF([1]감독시간표!$T$25:$V$25,'[1]감독 순번'!B30)+COUNTIF([1]감독시간표!$Y$25:$AA$25,'[1]감독 순번'!B30)+COUNTIF([1]감독시간표!$E$28:$S$28,'[1]감독 순번'!B30)+COUNTIF([1]감독시간표!$AA$28:$AC$28,'[1]감독 순번'!B30)+COUNTIF([1]감독시간표!$AF$28:$AI$28,'[1]감독 순번'!B30)+COUNTIF([1]감독시간표!$E$34:$P$34,'[1]감독 순번'!B30)+COUNTIF([1]감독시간표!$AF$34:$AH$34,'[1]감독 순번'!B30)+COUNTIF([1]감독시간표!$E$40:$S$40,'[1]감독 순번'!B30)+COUNTIF([1]감독시간표!$Y$40:$AE$40,'[1]감독 순번'!B30)+COUNTIF([1]감독시간표!$E$46:$Q$46,'[1]감독 순번'!B30)+COUNTIF([1]감독시간표!$Y$46:$AC$46,'[1]감독 순번'!B30)</f>
        <v>#VALUE!</v>
      </c>
      <c r="E30" s="177" t="e">
        <f>COUNTIF([1]감독시간표!$L$11:$S$11,'[1]감독 순번'!B30)+COUNTIF([1]감독시간표!$Y$11:$AE$11,'[1]감독 순번'!B30)+COUNTIF([1]감독시간표!$E$17:$K$17,'[1]감독 순번'!B30)+COUNTIF([1]감독시간표!$T$17:$V$17,'[1]감독 순번'!B30)+COUNTIF([1]감독시간표!$AI$17,'[1]감독 순번'!B30)+COUNTIF([1]감독시간표!$E$20:$S$20,'[1]감독 순번'!B30)+COUNTIF([1]감독시간표!$Y$20:$AE$20,'[1]감독 순번'!B30)+COUNTIF([1]감독시간표!$E$26:$K$26,'[1]감독 순번'!B30)+COUNTIF([1]감독시간표!$T$26:$V$26,'[1]감독 순번'!B30)+COUNTIF([1]감독시간표!$Y$26:$AA$26,'[1]감독 순번'!B30)+COUNTIF([1]감독시간표!$E$29:$S$29,'[1]감독 순번'!B30)+COUNTIF([1]감독시간표!$AA$29:$AC$29,'[1]감독 순번'!B30)+COUNTIF([1]감독시간표!$AF$29:$AI$29,'[1]감독 순번'!B30)+COUNTIF([1]감독시간표!$E$35:$P$35,'[1]감독 순번'!B30)+COUNTIF([1]감독시간표!$AF$35:$AH$35,'[1]감독 순번'!B30)+COUNTIF([1]감독시간표!$E$41:$S$41,'[1]감독 순번'!B30)+COUNTIF([1]감독시간표!$Y$41:$AE$41,'[1]감독 순번'!B30)+COUNTIF([1]감독시간표!$E$47:$Q$47,'[1]감독 순번'!B30)+COUNTIF([1]감독시간표!$Y$47:$AC$47,'[1]감독 순번'!B30)</f>
        <v>#VALUE!</v>
      </c>
      <c r="F30" s="177" t="e">
        <f>COUNTIF([1]감독시간표!$E$10:$K$11,'[1]감독 순번'!B30)+COUNTIF([1]감독시간표!$E$13:$S$14,'[1]감독 순번'!B30)+COUNTIF([1]감독시간표!$Y$13:$AE$14,'[1]감독 순번'!B30)+COUNTIF([1]감독시간표!$L$16:$S$17,'[1]감독 순번'!B30)+COUNTIF([1]감독시간표!$Y$16:$AE$17,'[1]감독 순번'!B30)+COUNTIF([1]감독시간표!$E$22:$S$23,'[1]감독 순번'!B30)+COUNTIF([1]감독시간표!$Y$22:$AE$23,'[1]감독 순번'!B30)+COUNTIF([1]감독시간표!$L$25:$S$26,'[1]감독 순번'!B30)+COUNTIF([1]감독시간표!$AJ$25:$AK$26,'[1]감독 순번'!B30)+COUNTIF([1]감독시간표!$E$31:$S$32,'[1]감독 순번'!B30)+COUNTIF([1]감독시간표!$Y$31:$AE$32,'[1]감독 순번'!B30)+COUNTIF([1]감독시간표!$W$34:$AE$35,'[1]감독 순번'!B30)+COUNTIF([1]감독시간표!$E$37:$S$38,'[1]감독 순번'!B30)+COUNTIF([1]감독시간표!$Y$37:$AE$38,'[1]감독 순번'!B30)+COUNTIF([1]감독시간표!$E$43:$S$44,'[1]감독 순번'!B30)+COUNTIF([1]감독시간표!$Y$43:$AE$44,'[1]감독 순번'!B30)+COUNTIF([1]감독시간표!$X$46,'[1]감독 순번'!B30)+COUNTIF([1]감독시간표!$AG$46,'[1]감독 순번'!B30)</f>
        <v>#VALUE!</v>
      </c>
      <c r="G30" s="178" t="e">
        <f t="shared" si="0"/>
        <v>#VALUE!</v>
      </c>
      <c r="H30" s="179"/>
      <c r="I30" s="177"/>
      <c r="J30" s="177"/>
      <c r="K30" s="180"/>
      <c r="L30" s="181"/>
      <c r="M30" s="182"/>
      <c r="N30" s="182"/>
      <c r="O30" s="182"/>
      <c r="P30" s="185"/>
      <c r="Q30" s="51"/>
    </row>
    <row r="31" spans="2:17" ht="19.95" customHeight="1">
      <c r="B31" s="184">
        <v>27</v>
      </c>
      <c r="C31" s="176" t="str">
        <f>[1]감독시간표!M58</f>
        <v>조현주</v>
      </c>
      <c r="D31" s="177" t="e">
        <f>COUNTIF([1]감독시간표!$L$10:$S$10,'[1]감독 순번'!B31)+COUNTIF([1]감독시간표!$Y$10:$AE$10,'[1]감독 순번'!B31)+COUNTIF([1]감독시간표!$E$16:$K$16,'[1]감독 순번'!B31)+COUNTIF([1]감독시간표!$T$16:$V$16,'[1]감독 순번'!B31)+COUNTIF([1]감독시간표!$AI$16,'[1]감독 순번'!B31)+COUNTIF([1]감독시간표!$E$19:$S$19,'[1]감독 순번'!B31)+COUNTIF([1]감독시간표!$Y$19:$AE$19,'[1]감독 순번'!B31)+COUNTIF([1]감독시간표!$E$25:$K$25,'[1]감독 순번'!B31)+COUNTIF([1]감독시간표!$T$25:$V$25,'[1]감독 순번'!B31)+COUNTIF([1]감독시간표!$Y$25:$AA$25,'[1]감독 순번'!B31)+COUNTIF([1]감독시간표!$E$28:$S$28,'[1]감독 순번'!B31)+COUNTIF([1]감독시간표!$AA$28:$AC$28,'[1]감독 순번'!B31)+COUNTIF([1]감독시간표!$AF$28:$AI$28,'[1]감독 순번'!B31)+COUNTIF([1]감독시간표!$E$34:$P$34,'[1]감독 순번'!B31)+COUNTIF([1]감독시간표!$AF$34:$AH$34,'[1]감독 순번'!B31)+COUNTIF([1]감독시간표!$E$40:$S$40,'[1]감독 순번'!B31)+COUNTIF([1]감독시간표!$Y$40:$AE$40,'[1]감독 순번'!B31)+COUNTIF([1]감독시간표!$E$46:$Q$46,'[1]감독 순번'!B31)+COUNTIF([1]감독시간표!$Y$46:$AC$46,'[1]감독 순번'!B31)</f>
        <v>#VALUE!</v>
      </c>
      <c r="E31" s="177" t="e">
        <f>COUNTIF([1]감독시간표!$L$11:$S$11,'[1]감독 순번'!B31)+COUNTIF([1]감독시간표!$Y$11:$AE$11,'[1]감독 순번'!B31)+COUNTIF([1]감독시간표!$E$17:$K$17,'[1]감독 순번'!B31)+COUNTIF([1]감독시간표!$T$17:$V$17,'[1]감독 순번'!B31)+COUNTIF([1]감독시간표!$AI$17,'[1]감독 순번'!B31)+COUNTIF([1]감독시간표!$E$20:$S$20,'[1]감독 순번'!B31)+COUNTIF([1]감독시간표!$Y$20:$AE$20,'[1]감독 순번'!B31)+COUNTIF([1]감독시간표!$E$26:$K$26,'[1]감독 순번'!B31)+COUNTIF([1]감독시간표!$T$26:$V$26,'[1]감독 순번'!B31)+COUNTIF([1]감독시간표!$Y$26:$AA$26,'[1]감독 순번'!B31)+COUNTIF([1]감독시간표!$E$29:$S$29,'[1]감독 순번'!B31)+COUNTIF([1]감독시간표!$AA$29:$AC$29,'[1]감독 순번'!B31)+COUNTIF([1]감독시간표!$AF$29:$AI$29,'[1]감독 순번'!B31)+COUNTIF([1]감독시간표!$E$35:$P$35,'[1]감독 순번'!B31)+COUNTIF([1]감독시간표!$AF$35:$AH$35,'[1]감독 순번'!B31)+COUNTIF([1]감독시간표!$E$41:$S$41,'[1]감독 순번'!B31)+COUNTIF([1]감독시간표!$Y$41:$AE$41,'[1]감독 순번'!B31)+COUNTIF([1]감독시간표!$E$47:$Q$47,'[1]감독 순번'!B31)+COUNTIF([1]감독시간표!$Y$47:$AC$47,'[1]감독 순번'!B31)</f>
        <v>#VALUE!</v>
      </c>
      <c r="F31" s="177" t="e">
        <f>COUNTIF([1]감독시간표!$E$10:$K$11,'[1]감독 순번'!B31)+COUNTIF([1]감독시간표!$E$13:$S$14,'[1]감독 순번'!B31)+COUNTIF([1]감독시간표!$Y$13:$AE$14,'[1]감독 순번'!B31)+COUNTIF([1]감독시간표!$L$16:$S$17,'[1]감독 순번'!B31)+COUNTIF([1]감독시간표!$Y$16:$AE$17,'[1]감독 순번'!B31)+COUNTIF([1]감독시간표!$E$22:$S$23,'[1]감독 순번'!B31)+COUNTIF([1]감독시간표!$Y$22:$AE$23,'[1]감독 순번'!B31)+COUNTIF([1]감독시간표!$L$25:$S$26,'[1]감독 순번'!B31)+COUNTIF([1]감독시간표!$AJ$25:$AK$26,'[1]감독 순번'!B31)+COUNTIF([1]감독시간표!$E$31:$S$32,'[1]감독 순번'!B31)+COUNTIF([1]감독시간표!$Y$31:$AE$32,'[1]감독 순번'!B31)+COUNTIF([1]감독시간표!$W$34:$AE$35,'[1]감독 순번'!B31)+COUNTIF([1]감독시간표!$E$37:$S$38,'[1]감독 순번'!B31)+COUNTIF([1]감독시간표!$Y$37:$AE$38,'[1]감독 순번'!B31)+COUNTIF([1]감독시간표!$E$43:$S$44,'[1]감독 순번'!B31)+COUNTIF([1]감독시간표!$Y$43:$AE$44,'[1]감독 순번'!B31)+COUNTIF([1]감독시간표!$X$46,'[1]감독 순번'!B31)+COUNTIF([1]감독시간표!$AG$46,'[1]감독 순번'!B31)</f>
        <v>#VALUE!</v>
      </c>
      <c r="G31" s="178" t="e">
        <f t="shared" si="0"/>
        <v>#VALUE!</v>
      </c>
      <c r="H31" s="179"/>
      <c r="I31" s="177"/>
      <c r="J31" s="177"/>
      <c r="K31" s="180"/>
      <c r="L31" s="181"/>
      <c r="M31" s="182"/>
      <c r="N31" s="182"/>
      <c r="O31" s="182"/>
      <c r="P31" s="185"/>
      <c r="Q31" s="51"/>
    </row>
    <row r="32" spans="2:17" ht="19.95" customHeight="1">
      <c r="B32" s="184">
        <v>28</v>
      </c>
      <c r="C32" s="176" t="str">
        <f>[1]감독시간표!M59</f>
        <v>최인호</v>
      </c>
      <c r="D32" s="177" t="e">
        <f>COUNTIF([1]감독시간표!$L$10:$S$10,'[1]감독 순번'!B32)+COUNTIF([1]감독시간표!$Y$10:$AE$10,'[1]감독 순번'!B32)+COUNTIF([1]감독시간표!$E$16:$K$16,'[1]감독 순번'!B32)+COUNTIF([1]감독시간표!$T$16:$V$16,'[1]감독 순번'!B32)+COUNTIF([1]감독시간표!$AI$16,'[1]감독 순번'!B32)+COUNTIF([1]감독시간표!$E$19:$S$19,'[1]감독 순번'!B32)+COUNTIF([1]감독시간표!$Y$19:$AE$19,'[1]감독 순번'!B32)+COUNTIF([1]감독시간표!$E$25:$K$25,'[1]감독 순번'!B32)+COUNTIF([1]감독시간표!$T$25:$V$25,'[1]감독 순번'!B32)+COUNTIF([1]감독시간표!$Y$25:$AA$25,'[1]감독 순번'!B32)+COUNTIF([1]감독시간표!$E$28:$S$28,'[1]감독 순번'!B32)+COUNTIF([1]감독시간표!$AA$28:$AC$28,'[1]감독 순번'!B32)+COUNTIF([1]감독시간표!$AF$28:$AI$28,'[1]감독 순번'!B32)+COUNTIF([1]감독시간표!$E$34:$P$34,'[1]감독 순번'!B32)+COUNTIF([1]감독시간표!$AF$34:$AH$34,'[1]감독 순번'!B32)+COUNTIF([1]감독시간표!$E$40:$S$40,'[1]감독 순번'!B32)+COUNTIF([1]감독시간표!$Y$40:$AE$40,'[1]감독 순번'!B32)+COUNTIF([1]감독시간표!$E$46:$Q$46,'[1]감독 순번'!B32)+COUNTIF([1]감독시간표!$Y$46:$AC$46,'[1]감독 순번'!B32)</f>
        <v>#VALUE!</v>
      </c>
      <c r="E32" s="177" t="e">
        <f>COUNTIF([1]감독시간표!$L$11:$S$11,'[1]감독 순번'!B32)+COUNTIF([1]감독시간표!$Y$11:$AE$11,'[1]감독 순번'!B32)+COUNTIF([1]감독시간표!$E$17:$K$17,'[1]감독 순번'!B32)+COUNTIF([1]감독시간표!$T$17:$V$17,'[1]감독 순번'!B32)+COUNTIF([1]감독시간표!$AI$17,'[1]감독 순번'!B32)+COUNTIF([1]감독시간표!$E$20:$S$20,'[1]감독 순번'!B32)+COUNTIF([1]감독시간표!$Y$20:$AE$20,'[1]감독 순번'!B32)+COUNTIF([1]감독시간표!$E$26:$K$26,'[1]감독 순번'!B32)+COUNTIF([1]감독시간표!$T$26:$V$26,'[1]감독 순번'!B32)+COUNTIF([1]감독시간표!$Y$26:$AA$26,'[1]감독 순번'!B32)+COUNTIF([1]감독시간표!$E$29:$S$29,'[1]감독 순번'!B32)+COUNTIF([1]감독시간표!$AA$29:$AC$29,'[1]감독 순번'!B32)+COUNTIF([1]감독시간표!$AF$29:$AI$29,'[1]감독 순번'!B32)+COUNTIF([1]감독시간표!$E$35:$P$35,'[1]감독 순번'!B32)+COUNTIF([1]감독시간표!$AF$35:$AH$35,'[1]감독 순번'!B32)+COUNTIF([1]감독시간표!$E$41:$S$41,'[1]감독 순번'!B32)+COUNTIF([1]감독시간표!$Y$41:$AE$41,'[1]감독 순번'!B32)+COUNTIF([1]감독시간표!$E$47:$Q$47,'[1]감독 순번'!B32)+COUNTIF([1]감독시간표!$Y$47:$AC$47,'[1]감독 순번'!B32)</f>
        <v>#VALUE!</v>
      </c>
      <c r="F32" s="177" t="e">
        <f>COUNTIF([1]감독시간표!$E$10:$K$11,'[1]감독 순번'!B32)+COUNTIF([1]감독시간표!$E$13:$S$14,'[1]감독 순번'!B32)+COUNTIF([1]감독시간표!$Y$13:$AE$14,'[1]감독 순번'!B32)+COUNTIF([1]감독시간표!$L$16:$S$17,'[1]감독 순번'!B32)+COUNTIF([1]감독시간표!$Y$16:$AE$17,'[1]감독 순번'!B32)+COUNTIF([1]감독시간표!$E$22:$S$23,'[1]감독 순번'!B32)+COUNTIF([1]감독시간표!$Y$22:$AE$23,'[1]감독 순번'!B32)+COUNTIF([1]감독시간표!$L$25:$S$26,'[1]감독 순번'!B32)+COUNTIF([1]감독시간표!$AJ$25:$AK$26,'[1]감독 순번'!B32)+COUNTIF([1]감독시간표!$E$31:$S$32,'[1]감독 순번'!B32)+COUNTIF([1]감독시간표!$Y$31:$AE$32,'[1]감독 순번'!B32)+COUNTIF([1]감독시간표!$W$34:$AE$35,'[1]감독 순번'!B32)+COUNTIF([1]감독시간표!$E$37:$S$38,'[1]감독 순번'!B32)+COUNTIF([1]감독시간표!$Y$37:$AE$38,'[1]감독 순번'!B32)+COUNTIF([1]감독시간표!$E$43:$S$44,'[1]감독 순번'!B32)+COUNTIF([1]감독시간표!$Y$43:$AE$44,'[1]감독 순번'!B32)+COUNTIF([1]감독시간표!$X$46,'[1]감독 순번'!B32)+COUNTIF([1]감독시간표!$AG$46,'[1]감독 순번'!B32)</f>
        <v>#VALUE!</v>
      </c>
      <c r="G32" s="178" t="e">
        <f t="shared" si="0"/>
        <v>#VALUE!</v>
      </c>
      <c r="H32" s="179"/>
      <c r="I32" s="177"/>
      <c r="J32" s="177"/>
      <c r="K32" s="180"/>
      <c r="L32" s="181"/>
      <c r="M32" s="182"/>
      <c r="N32" s="182"/>
      <c r="O32" s="182"/>
      <c r="P32" s="185"/>
      <c r="Q32" s="51"/>
    </row>
    <row r="33" spans="2:17" ht="19.2" customHeight="1">
      <c r="B33" s="184">
        <v>29</v>
      </c>
      <c r="C33" s="176" t="str">
        <f>[1]감독시간표!M60</f>
        <v>조영정</v>
      </c>
      <c r="D33" s="177" t="e">
        <f>COUNTIF([1]감독시간표!$L$10:$S$10,'[1]감독 순번'!B33)+COUNTIF([1]감독시간표!$Y$10:$AE$10,'[1]감독 순번'!B33)+COUNTIF([1]감독시간표!$E$16:$K$16,'[1]감독 순번'!B33)+COUNTIF([1]감독시간표!$T$16:$V$16,'[1]감독 순번'!B33)+COUNTIF([1]감독시간표!$AI$16,'[1]감독 순번'!B33)+COUNTIF([1]감독시간표!$E$19:$S$19,'[1]감독 순번'!B33)+COUNTIF([1]감독시간표!$Y$19:$AE$19,'[1]감독 순번'!B33)+COUNTIF([1]감독시간표!$E$25:$K$25,'[1]감독 순번'!B33)+COUNTIF([1]감독시간표!$T$25:$V$25,'[1]감독 순번'!B33)+COUNTIF([1]감독시간표!$Y$25:$AA$25,'[1]감독 순번'!B33)+COUNTIF([1]감독시간표!$E$28:$S$28,'[1]감독 순번'!B33)+COUNTIF([1]감독시간표!$AA$28:$AC$28,'[1]감독 순번'!B33)+COUNTIF([1]감독시간표!$AF$28:$AI$28,'[1]감독 순번'!B33)+COUNTIF([1]감독시간표!$E$34:$P$34,'[1]감독 순번'!B33)+COUNTIF([1]감독시간표!$AF$34:$AH$34,'[1]감독 순번'!B33)+COUNTIF([1]감독시간표!$E$40:$S$40,'[1]감독 순번'!B33)+COUNTIF([1]감독시간표!$Y$40:$AE$40,'[1]감독 순번'!B33)+COUNTIF([1]감독시간표!$E$46:$Q$46,'[1]감독 순번'!B33)+COUNTIF([1]감독시간표!$Y$46:$AC$46,'[1]감독 순번'!B33)</f>
        <v>#VALUE!</v>
      </c>
      <c r="E33" s="177" t="e">
        <f>COUNTIF([1]감독시간표!$L$11:$S$11,'[1]감독 순번'!B33)+COUNTIF([1]감독시간표!$Y$11:$AE$11,'[1]감독 순번'!B33)+COUNTIF([1]감독시간표!$E$17:$K$17,'[1]감독 순번'!B33)+COUNTIF([1]감독시간표!$T$17:$V$17,'[1]감독 순번'!B33)+COUNTIF([1]감독시간표!$AI$17,'[1]감독 순번'!B33)+COUNTIF([1]감독시간표!$E$20:$S$20,'[1]감독 순번'!B33)+COUNTIF([1]감독시간표!$Y$20:$AE$20,'[1]감독 순번'!B33)+COUNTIF([1]감독시간표!$E$26:$K$26,'[1]감독 순번'!B33)+COUNTIF([1]감독시간표!$T$26:$V$26,'[1]감독 순번'!B33)+COUNTIF([1]감독시간표!$Y$26:$AA$26,'[1]감독 순번'!B33)+COUNTIF([1]감독시간표!$E$29:$S$29,'[1]감독 순번'!B33)+COUNTIF([1]감독시간표!$AA$29:$AC$29,'[1]감독 순번'!B33)+COUNTIF([1]감독시간표!$AF$29:$AI$29,'[1]감독 순번'!B33)+COUNTIF([1]감독시간표!$E$35:$P$35,'[1]감독 순번'!B33)+COUNTIF([1]감독시간표!$AF$35:$AH$35,'[1]감독 순번'!B33)+COUNTIF([1]감독시간표!$E$41:$S$41,'[1]감독 순번'!B33)+COUNTIF([1]감독시간표!$Y$41:$AE$41,'[1]감독 순번'!B33)+COUNTIF([1]감독시간표!$E$47:$Q$47,'[1]감독 순번'!B33)+COUNTIF([1]감독시간표!$Y$47:$AC$47,'[1]감독 순번'!B33)</f>
        <v>#VALUE!</v>
      </c>
      <c r="F33" s="177" t="e">
        <f>COUNTIF([1]감독시간표!$E$10:$K$11,'[1]감독 순번'!B33)+COUNTIF([1]감독시간표!$E$13:$S$14,'[1]감독 순번'!B33)+COUNTIF([1]감독시간표!$Y$13:$AE$14,'[1]감독 순번'!B33)+COUNTIF([1]감독시간표!$L$16:$S$17,'[1]감독 순번'!B33)+COUNTIF([1]감독시간표!$Y$16:$AE$17,'[1]감독 순번'!B33)+COUNTIF([1]감독시간표!$E$22:$S$23,'[1]감독 순번'!B33)+COUNTIF([1]감독시간표!$Y$22:$AE$23,'[1]감독 순번'!B33)+COUNTIF([1]감독시간표!$L$25:$S$26,'[1]감독 순번'!B33)+COUNTIF([1]감독시간표!$AJ$25:$AK$26,'[1]감독 순번'!B33)+COUNTIF([1]감독시간표!$E$31:$S$32,'[1]감독 순번'!B33)+COUNTIF([1]감독시간표!$Y$31:$AE$32,'[1]감독 순번'!B33)+COUNTIF([1]감독시간표!$W$34:$AE$35,'[1]감독 순번'!B33)+COUNTIF([1]감독시간표!$E$37:$S$38,'[1]감독 순번'!B33)+COUNTIF([1]감독시간표!$Y$37:$AE$38,'[1]감독 순번'!B33)+COUNTIF([1]감독시간표!$E$43:$S$44,'[1]감독 순번'!B33)+COUNTIF([1]감독시간표!$Y$43:$AE$44,'[1]감독 순번'!B33)+COUNTIF([1]감독시간표!$X$46,'[1]감독 순번'!B33)+COUNTIF([1]감독시간표!$AG$46,'[1]감독 순번'!B33)</f>
        <v>#VALUE!</v>
      </c>
      <c r="G33" s="178" t="e">
        <f t="shared" si="0"/>
        <v>#VALUE!</v>
      </c>
      <c r="H33" s="179"/>
      <c r="I33" s="177"/>
      <c r="J33" s="177"/>
      <c r="K33" s="180"/>
      <c r="L33" s="181"/>
      <c r="M33" s="182"/>
      <c r="N33" s="182"/>
      <c r="O33" s="182"/>
      <c r="P33" s="185"/>
      <c r="Q33" s="51"/>
    </row>
    <row r="34" spans="2:17" ht="19.95" customHeight="1">
      <c r="B34" s="184">
        <v>30</v>
      </c>
      <c r="C34" s="176" t="str">
        <f>[1]감독시간표!M61</f>
        <v>신윤미</v>
      </c>
      <c r="D34" s="177" t="e">
        <f>COUNTIF([1]감독시간표!$L$10:$S$10,'[1]감독 순번'!B34)+COUNTIF([1]감독시간표!$Y$10:$AE$10,'[1]감독 순번'!B34)+COUNTIF([1]감독시간표!$E$16:$K$16,'[1]감독 순번'!B34)+COUNTIF([1]감독시간표!$T$16:$V$16,'[1]감독 순번'!B34)+COUNTIF([1]감독시간표!$AI$16,'[1]감독 순번'!B34)+COUNTIF([1]감독시간표!$E$19:$S$19,'[1]감독 순번'!B34)+COUNTIF([1]감독시간표!$Y$19:$AE$19,'[1]감독 순번'!B34)+COUNTIF([1]감독시간표!$E$25:$K$25,'[1]감독 순번'!B34)+COUNTIF([1]감독시간표!$T$25:$V$25,'[1]감독 순번'!B34)+COUNTIF([1]감독시간표!$Y$25:$AA$25,'[1]감독 순번'!B34)+COUNTIF([1]감독시간표!$E$28:$S$28,'[1]감독 순번'!B34)+COUNTIF([1]감독시간표!$AA$28:$AC$28,'[1]감독 순번'!B34)+COUNTIF([1]감독시간표!$AF$28:$AI$28,'[1]감독 순번'!B34)+COUNTIF([1]감독시간표!$E$34:$P$34,'[1]감독 순번'!B34)+COUNTIF([1]감독시간표!$AF$34:$AH$34,'[1]감독 순번'!B34)+COUNTIF([1]감독시간표!$E$40:$S$40,'[1]감독 순번'!B34)+COUNTIF([1]감독시간표!$Y$40:$AE$40,'[1]감독 순번'!B34)+COUNTIF([1]감독시간표!$E$46:$Q$46,'[1]감독 순번'!B34)+COUNTIF([1]감독시간표!$Y$46:$AC$46,'[1]감독 순번'!B34)</f>
        <v>#VALUE!</v>
      </c>
      <c r="E34" s="177" t="e">
        <f>COUNTIF([1]감독시간표!$L$11:$S$11,'[1]감독 순번'!B34)+COUNTIF([1]감독시간표!$Y$11:$AE$11,'[1]감독 순번'!B34)+COUNTIF([1]감독시간표!$E$17:$K$17,'[1]감독 순번'!B34)+COUNTIF([1]감독시간표!$T$17:$V$17,'[1]감독 순번'!B34)+COUNTIF([1]감독시간표!$AI$17,'[1]감독 순번'!B34)+COUNTIF([1]감독시간표!$E$20:$S$20,'[1]감독 순번'!B34)+COUNTIF([1]감독시간표!$Y$20:$AE$20,'[1]감독 순번'!B34)+COUNTIF([1]감독시간표!$E$26:$K$26,'[1]감독 순번'!B34)+COUNTIF([1]감독시간표!$T$26:$V$26,'[1]감독 순번'!B34)+COUNTIF([1]감독시간표!$Y$26:$AA$26,'[1]감독 순번'!B34)+COUNTIF([1]감독시간표!$E$29:$S$29,'[1]감독 순번'!B34)+COUNTIF([1]감독시간표!$AA$29:$AC$29,'[1]감독 순번'!B34)+COUNTIF([1]감독시간표!$AF$29:$AI$29,'[1]감독 순번'!B34)+COUNTIF([1]감독시간표!$E$35:$P$35,'[1]감독 순번'!B34)+COUNTIF([1]감독시간표!$AF$35:$AH$35,'[1]감독 순번'!B34)+COUNTIF([1]감독시간표!$E$41:$S$41,'[1]감독 순번'!B34)+COUNTIF([1]감독시간표!$Y$41:$AE$41,'[1]감독 순번'!B34)+COUNTIF([1]감독시간표!$E$47:$Q$47,'[1]감독 순번'!B34)+COUNTIF([1]감독시간표!$Y$47:$AC$47,'[1]감독 순번'!B34)</f>
        <v>#VALUE!</v>
      </c>
      <c r="F34" s="177" t="e">
        <f>COUNTIF([1]감독시간표!$E$10:$K$11,'[1]감독 순번'!B34)+COUNTIF([1]감독시간표!$E$13:$S$14,'[1]감독 순번'!B34)+COUNTIF([1]감독시간표!$Y$13:$AE$14,'[1]감독 순번'!B34)+COUNTIF([1]감독시간표!$L$16:$S$17,'[1]감독 순번'!B34)+COUNTIF([1]감독시간표!$Y$16:$AE$17,'[1]감독 순번'!B34)+COUNTIF([1]감독시간표!$E$22:$S$23,'[1]감독 순번'!B34)+COUNTIF([1]감독시간표!$Y$22:$AE$23,'[1]감독 순번'!B34)+COUNTIF([1]감독시간표!$L$25:$S$26,'[1]감독 순번'!B34)+COUNTIF([1]감독시간표!$AJ$25:$AK$26,'[1]감독 순번'!B34)+COUNTIF([1]감독시간표!$E$31:$S$32,'[1]감독 순번'!B34)+COUNTIF([1]감독시간표!$Y$31:$AE$32,'[1]감독 순번'!B34)+COUNTIF([1]감독시간표!$W$34:$AE$35,'[1]감독 순번'!B34)+COUNTIF([1]감독시간표!$E$37:$S$38,'[1]감독 순번'!B34)+COUNTIF([1]감독시간표!$Y$37:$AE$38,'[1]감독 순번'!B34)+COUNTIF([1]감독시간표!$E$43:$S$44,'[1]감독 순번'!B34)+COUNTIF([1]감독시간표!$Y$43:$AE$44,'[1]감독 순번'!B34)+COUNTIF([1]감독시간표!$X$46,'[1]감독 순번'!B34)+COUNTIF([1]감독시간표!$AG$46,'[1]감독 순번'!B34)</f>
        <v>#VALUE!</v>
      </c>
      <c r="G34" s="178" t="e">
        <f t="shared" si="0"/>
        <v>#VALUE!</v>
      </c>
      <c r="H34" s="179"/>
      <c r="I34" s="177"/>
      <c r="J34" s="177"/>
      <c r="K34" s="180"/>
      <c r="L34" s="181"/>
      <c r="M34" s="182"/>
      <c r="N34" s="182"/>
      <c r="O34" s="182"/>
      <c r="P34" s="186"/>
      <c r="Q34" s="51"/>
    </row>
    <row r="35" spans="2:17" ht="19.95" customHeight="1">
      <c r="B35" s="184">
        <v>31</v>
      </c>
      <c r="C35" s="187" t="str">
        <f>[1]감독시간표!Q52</f>
        <v>김진솔</v>
      </c>
      <c r="D35" s="177" t="e">
        <f>COUNTIF([1]감독시간표!$L$10:$S$10,'[1]감독 순번'!B35)+COUNTIF([1]감독시간표!$Y$10:$AE$10,'[1]감독 순번'!B35)+COUNTIF([1]감독시간표!$E$16:$K$16,'[1]감독 순번'!B35)+COUNTIF([1]감독시간표!$T$16:$V$16,'[1]감독 순번'!B35)+COUNTIF([1]감독시간표!$AI$16,'[1]감독 순번'!B35)+COUNTIF([1]감독시간표!$E$19:$S$19,'[1]감독 순번'!B35)+COUNTIF([1]감독시간표!$Y$19:$AE$19,'[1]감독 순번'!B35)+COUNTIF([1]감독시간표!$E$25:$K$25,'[1]감독 순번'!B35)+COUNTIF([1]감독시간표!$T$25:$V$25,'[1]감독 순번'!B35)+COUNTIF([1]감독시간표!$Y$25:$AA$25,'[1]감독 순번'!B35)+COUNTIF([1]감독시간표!$E$28:$S$28,'[1]감독 순번'!B35)+COUNTIF([1]감독시간표!$AA$28:$AC$28,'[1]감독 순번'!B35)+COUNTIF([1]감독시간표!$AF$28:$AI$28,'[1]감독 순번'!B35)+COUNTIF([1]감독시간표!$E$34:$P$34,'[1]감독 순번'!B35)+COUNTIF([1]감독시간표!$AF$34:$AH$34,'[1]감독 순번'!B35)+COUNTIF([1]감독시간표!$E$40:$S$40,'[1]감독 순번'!B35)+COUNTIF([1]감독시간표!$Y$40:$AE$40,'[1]감독 순번'!B35)+COUNTIF([1]감독시간표!$E$46:$Q$46,'[1]감독 순번'!B35)+COUNTIF([1]감독시간표!$Y$46:$AC$46,'[1]감독 순번'!B35)</f>
        <v>#VALUE!</v>
      </c>
      <c r="E35" s="177" t="e">
        <f>COUNTIF([1]감독시간표!$L$11:$S$11,'[1]감독 순번'!B35)+COUNTIF([1]감독시간표!$Y$11:$AE$11,'[1]감독 순번'!B35)+COUNTIF([1]감독시간표!$E$17:$K$17,'[1]감독 순번'!B35)+COUNTIF([1]감독시간표!$T$17:$V$17,'[1]감독 순번'!B35)+COUNTIF([1]감독시간표!$AI$17,'[1]감독 순번'!B35)+COUNTIF([1]감독시간표!$E$20:$S$20,'[1]감독 순번'!B35)+COUNTIF([1]감독시간표!$Y$20:$AE$20,'[1]감독 순번'!B35)+COUNTIF([1]감독시간표!$E$26:$K$26,'[1]감독 순번'!B35)+COUNTIF([1]감독시간표!$T$26:$V$26,'[1]감독 순번'!B35)+COUNTIF([1]감독시간표!$Y$26:$AA$26,'[1]감독 순번'!B35)+COUNTIF([1]감독시간표!$E$29:$S$29,'[1]감독 순번'!B35)+COUNTIF([1]감독시간표!$AA$29:$AC$29,'[1]감독 순번'!B35)+COUNTIF([1]감독시간표!$AF$29:$AI$29,'[1]감독 순번'!B35)+COUNTIF([1]감독시간표!$E$35:$P$35,'[1]감독 순번'!B35)+COUNTIF([1]감독시간표!$AF$35:$AH$35,'[1]감독 순번'!B35)+COUNTIF([1]감독시간표!$E$41:$S$41,'[1]감독 순번'!B35)+COUNTIF([1]감독시간표!$Y$41:$AE$41,'[1]감독 순번'!B35)+COUNTIF([1]감독시간표!$E$47:$Q$47,'[1]감독 순번'!B35)+COUNTIF([1]감독시간표!$Y$47:$AC$47,'[1]감독 순번'!B35)</f>
        <v>#VALUE!</v>
      </c>
      <c r="F35" s="177" t="e">
        <f>COUNTIF([1]감독시간표!$E$10:$K$11,'[1]감독 순번'!B35)+COUNTIF([1]감독시간표!$E$13:$S$14,'[1]감독 순번'!B35)+COUNTIF([1]감독시간표!$Y$13:$AE$14,'[1]감독 순번'!B35)+COUNTIF([1]감독시간표!$L$16:$S$17,'[1]감독 순번'!B35)+COUNTIF([1]감독시간표!$Y$16:$AE$17,'[1]감독 순번'!B35)+COUNTIF([1]감독시간표!$E$22:$S$23,'[1]감독 순번'!B35)+COUNTIF([1]감독시간표!$Y$22:$AE$23,'[1]감독 순번'!B35)+COUNTIF([1]감독시간표!$L$25:$S$26,'[1]감독 순번'!B35)+COUNTIF([1]감독시간표!$AJ$25:$AK$26,'[1]감독 순번'!B35)+COUNTIF([1]감독시간표!$E$31:$S$32,'[1]감독 순번'!B35)+COUNTIF([1]감독시간표!$Y$31:$AE$32,'[1]감독 순번'!B35)+COUNTIF([1]감독시간표!$W$34:$AE$35,'[1]감독 순번'!B35)+COUNTIF([1]감독시간표!$E$37:$S$38,'[1]감독 순번'!B35)+COUNTIF([1]감독시간표!$Y$37:$AE$38,'[1]감독 순번'!B35)+COUNTIF([1]감독시간표!$E$43:$S$44,'[1]감독 순번'!B35)+COUNTIF([1]감독시간표!$Y$43:$AE$44,'[1]감독 순번'!B35)+COUNTIF([1]감독시간표!$X$46,'[1]감독 순번'!B35)+COUNTIF([1]감독시간표!$AG$46,'[1]감독 순번'!B35)</f>
        <v>#VALUE!</v>
      </c>
      <c r="G35" s="178" t="e">
        <f t="shared" si="0"/>
        <v>#VALUE!</v>
      </c>
      <c r="H35" s="179"/>
      <c r="I35" s="177"/>
      <c r="J35" s="177"/>
      <c r="K35" s="180"/>
      <c r="L35" s="181"/>
      <c r="M35" s="182"/>
      <c r="N35" s="182"/>
      <c r="O35" s="182"/>
      <c r="P35" s="185" t="s">
        <v>2291</v>
      </c>
      <c r="Q35" s="190" t="s">
        <v>2300</v>
      </c>
    </row>
    <row r="36" spans="2:17" ht="19.95" customHeight="1">
      <c r="B36" s="184">
        <v>32</v>
      </c>
      <c r="C36" s="187" t="str">
        <f>[1]감독시간표!Q53</f>
        <v>고단비</v>
      </c>
      <c r="D36" s="177" t="e">
        <f>COUNTIF([1]감독시간표!$L$10:$S$10,'[1]감독 순번'!B36)+COUNTIF([1]감독시간표!$Y$10:$AE$10,'[1]감독 순번'!B36)+COUNTIF([1]감독시간표!$E$16:$K$16,'[1]감독 순번'!B36)+COUNTIF([1]감독시간표!$T$16:$V$16,'[1]감독 순번'!B36)+COUNTIF([1]감독시간표!$AI$16,'[1]감독 순번'!B36)+COUNTIF([1]감독시간표!$E$19:$S$19,'[1]감독 순번'!B36)+COUNTIF([1]감독시간표!$Y$19:$AE$19,'[1]감독 순번'!B36)+COUNTIF([1]감독시간표!$E$25:$K$25,'[1]감독 순번'!B36)+COUNTIF([1]감독시간표!$T$25:$V$25,'[1]감독 순번'!B36)+COUNTIF([1]감독시간표!$Y$25:$AA$25,'[1]감독 순번'!B36)+COUNTIF([1]감독시간표!$E$28:$S$28,'[1]감독 순번'!B36)+COUNTIF([1]감독시간표!$AA$28:$AC$28,'[1]감독 순번'!B36)+COUNTIF([1]감독시간표!$AF$28:$AI$28,'[1]감독 순번'!B36)+COUNTIF([1]감독시간표!$E$34:$P$34,'[1]감독 순번'!B36)+COUNTIF([1]감독시간표!$AF$34:$AH$34,'[1]감독 순번'!B36)+COUNTIF([1]감독시간표!$E$40:$S$40,'[1]감독 순번'!B36)+COUNTIF([1]감독시간표!$Y$40:$AE$40,'[1]감독 순번'!B36)+COUNTIF([1]감독시간표!$E$46:$Q$46,'[1]감독 순번'!B36)+COUNTIF([1]감독시간표!$Y$46:$AC$46,'[1]감독 순번'!B36)</f>
        <v>#VALUE!</v>
      </c>
      <c r="E36" s="177" t="e">
        <f>COUNTIF([1]감독시간표!$L$11:$S$11,'[1]감독 순번'!B36)+COUNTIF([1]감독시간표!$Y$11:$AE$11,'[1]감독 순번'!B36)+COUNTIF([1]감독시간표!$E$17:$K$17,'[1]감독 순번'!B36)+COUNTIF([1]감독시간표!$T$17:$V$17,'[1]감독 순번'!B36)+COUNTIF([1]감독시간표!$AI$17,'[1]감독 순번'!B36)+COUNTIF([1]감독시간표!$E$20:$S$20,'[1]감독 순번'!B36)+COUNTIF([1]감독시간표!$Y$20:$AE$20,'[1]감독 순번'!B36)+COUNTIF([1]감독시간표!$E$26:$K$26,'[1]감독 순번'!B36)+COUNTIF([1]감독시간표!$T$26:$V$26,'[1]감독 순번'!B36)+COUNTIF([1]감독시간표!$Y$26:$AA$26,'[1]감독 순번'!B36)+COUNTIF([1]감독시간표!$E$29:$S$29,'[1]감독 순번'!B36)+COUNTIF([1]감독시간표!$AA$29:$AC$29,'[1]감독 순번'!B36)+COUNTIF([1]감독시간표!$AF$29:$AI$29,'[1]감독 순번'!B36)+COUNTIF([1]감독시간표!$E$35:$P$35,'[1]감독 순번'!B36)+COUNTIF([1]감독시간표!$AF$35:$AH$35,'[1]감독 순번'!B36)+COUNTIF([1]감독시간표!$E$41:$S$41,'[1]감독 순번'!B36)+COUNTIF([1]감독시간표!$Y$41:$AE$41,'[1]감독 순번'!B36)+COUNTIF([1]감독시간표!$E$47:$Q$47,'[1]감독 순번'!B36)+COUNTIF([1]감독시간표!$Y$47:$AC$47,'[1]감독 순번'!B36)</f>
        <v>#VALUE!</v>
      </c>
      <c r="F36" s="177" t="e">
        <f>COUNTIF([1]감독시간표!$E$10:$K$11,'[1]감독 순번'!B36)+COUNTIF([1]감독시간표!$E$13:$S$14,'[1]감독 순번'!B36)+COUNTIF([1]감독시간표!$Y$13:$AE$14,'[1]감독 순번'!B36)+COUNTIF([1]감독시간표!$L$16:$S$17,'[1]감독 순번'!B36)+COUNTIF([1]감독시간표!$Y$16:$AE$17,'[1]감독 순번'!B36)+COUNTIF([1]감독시간표!$E$22:$S$23,'[1]감독 순번'!B36)+COUNTIF([1]감독시간표!$Y$22:$AE$23,'[1]감독 순번'!B36)+COUNTIF([1]감독시간표!$L$25:$S$26,'[1]감독 순번'!B36)+COUNTIF([1]감독시간표!$AJ$25:$AK$26,'[1]감독 순번'!B36)+COUNTIF([1]감독시간표!$E$31:$S$32,'[1]감독 순번'!B36)+COUNTIF([1]감독시간표!$Y$31:$AE$32,'[1]감독 순번'!B36)+COUNTIF([1]감독시간표!$W$34:$AE$35,'[1]감독 순번'!B36)+COUNTIF([1]감독시간표!$E$37:$S$38,'[1]감독 순번'!B36)+COUNTIF([1]감독시간표!$Y$37:$AE$38,'[1]감독 순번'!B36)+COUNTIF([1]감독시간표!$E$43:$S$44,'[1]감독 순번'!B36)+COUNTIF([1]감독시간표!$Y$43:$AE$44,'[1]감독 순번'!B36)+COUNTIF([1]감독시간표!$X$46,'[1]감독 순번'!B36)+COUNTIF([1]감독시간표!$AG$46,'[1]감독 순번'!B36)</f>
        <v>#VALUE!</v>
      </c>
      <c r="G36" s="178" t="e">
        <f t="shared" si="0"/>
        <v>#VALUE!</v>
      </c>
      <c r="H36" s="179"/>
      <c r="I36" s="177"/>
      <c r="J36" s="177"/>
      <c r="K36" s="180"/>
      <c r="L36" s="181"/>
      <c r="M36" s="182"/>
      <c r="N36" s="182"/>
      <c r="O36" s="182"/>
      <c r="P36" s="185"/>
      <c r="Q36" s="51"/>
    </row>
    <row r="37" spans="2:17" ht="19.95" customHeight="1">
      <c r="B37" s="184">
        <v>33</v>
      </c>
      <c r="C37" s="187" t="str">
        <f>[1]감독시간표!Q54</f>
        <v>김현우</v>
      </c>
      <c r="D37" s="177" t="e">
        <f>COUNTIF([1]감독시간표!$L$10:$S$10,'[1]감독 순번'!B37)+COUNTIF([1]감독시간표!$Y$10:$AE$10,'[1]감독 순번'!B37)+COUNTIF([1]감독시간표!$E$16:$K$16,'[1]감독 순번'!B37)+COUNTIF([1]감독시간표!$T$16:$V$16,'[1]감독 순번'!B37)+COUNTIF([1]감독시간표!$AI$16,'[1]감독 순번'!B37)+COUNTIF([1]감독시간표!$E$19:$S$19,'[1]감독 순번'!B37)+COUNTIF([1]감독시간표!$Y$19:$AE$19,'[1]감독 순번'!B37)+COUNTIF([1]감독시간표!$E$25:$K$25,'[1]감독 순번'!B37)+COUNTIF([1]감독시간표!$T$25:$V$25,'[1]감독 순번'!B37)+COUNTIF([1]감독시간표!$Y$25:$AA$25,'[1]감독 순번'!B37)+COUNTIF([1]감독시간표!$E$28:$S$28,'[1]감독 순번'!B37)+COUNTIF([1]감독시간표!$AA$28:$AC$28,'[1]감독 순번'!B37)+COUNTIF([1]감독시간표!$AF$28:$AI$28,'[1]감독 순번'!B37)+COUNTIF([1]감독시간표!$E$34:$P$34,'[1]감독 순번'!B37)+COUNTIF([1]감독시간표!$AF$34:$AH$34,'[1]감독 순번'!B37)+COUNTIF([1]감독시간표!$E$40:$S$40,'[1]감독 순번'!B37)+COUNTIF([1]감독시간표!$Y$40:$AE$40,'[1]감독 순번'!B37)+COUNTIF([1]감독시간표!$E$46:$Q$46,'[1]감독 순번'!B37)+COUNTIF([1]감독시간표!$Y$46:$AC$46,'[1]감독 순번'!B37)</f>
        <v>#VALUE!</v>
      </c>
      <c r="E37" s="177" t="e">
        <f>COUNTIF([1]감독시간표!$L$11:$S$11,'[1]감독 순번'!B37)+COUNTIF([1]감독시간표!$Y$11:$AE$11,'[1]감독 순번'!B37)+COUNTIF([1]감독시간표!$E$17:$K$17,'[1]감독 순번'!B37)+COUNTIF([1]감독시간표!$T$17:$V$17,'[1]감독 순번'!B37)+COUNTIF([1]감독시간표!$AI$17,'[1]감독 순번'!B37)+COUNTIF([1]감독시간표!$E$20:$S$20,'[1]감독 순번'!B37)+COUNTIF([1]감독시간표!$Y$20:$AE$20,'[1]감독 순번'!B37)+COUNTIF([1]감독시간표!$E$26:$K$26,'[1]감독 순번'!B37)+COUNTIF([1]감독시간표!$T$26:$V$26,'[1]감독 순번'!B37)+COUNTIF([1]감독시간표!$Y$26:$AA$26,'[1]감독 순번'!B37)+COUNTIF([1]감독시간표!$E$29:$S$29,'[1]감독 순번'!B37)+COUNTIF([1]감독시간표!$AA$29:$AC$29,'[1]감독 순번'!B37)+COUNTIF([1]감독시간표!$AF$29:$AI$29,'[1]감독 순번'!B37)+COUNTIF([1]감독시간표!$E$35:$P$35,'[1]감독 순번'!B37)+COUNTIF([1]감독시간표!$AF$35:$AH$35,'[1]감독 순번'!B37)+COUNTIF([1]감독시간표!$E$41:$S$41,'[1]감독 순번'!B37)+COUNTIF([1]감독시간표!$Y$41:$AE$41,'[1]감독 순번'!B37)+COUNTIF([1]감독시간표!$E$47:$Q$47,'[1]감독 순번'!B37)+COUNTIF([1]감독시간표!$Y$47:$AC$47,'[1]감독 순번'!B37)</f>
        <v>#VALUE!</v>
      </c>
      <c r="F37" s="177" t="e">
        <f>COUNTIF([1]감독시간표!$E$10:$K$11,'[1]감독 순번'!B37)+COUNTIF([1]감독시간표!$E$13:$S$14,'[1]감독 순번'!B37)+COUNTIF([1]감독시간표!$Y$13:$AE$14,'[1]감독 순번'!B37)+COUNTIF([1]감독시간표!$L$16:$S$17,'[1]감독 순번'!B37)+COUNTIF([1]감독시간표!$Y$16:$AE$17,'[1]감독 순번'!B37)+COUNTIF([1]감독시간표!$E$22:$S$23,'[1]감독 순번'!B37)+COUNTIF([1]감독시간표!$Y$22:$AE$23,'[1]감독 순번'!B37)+COUNTIF([1]감독시간표!$L$25:$S$26,'[1]감독 순번'!B37)+COUNTIF([1]감독시간표!$AJ$25:$AK$26,'[1]감독 순번'!B37)+COUNTIF([1]감독시간표!$E$31:$S$32,'[1]감독 순번'!B37)+COUNTIF([1]감독시간표!$Y$31:$AE$32,'[1]감독 순번'!B37)+COUNTIF([1]감독시간표!$W$34:$AE$35,'[1]감독 순번'!B37)+COUNTIF([1]감독시간표!$E$37:$S$38,'[1]감독 순번'!B37)+COUNTIF([1]감독시간표!$Y$37:$AE$38,'[1]감독 순번'!B37)+COUNTIF([1]감독시간표!$E$43:$S$44,'[1]감독 순번'!B37)+COUNTIF([1]감독시간표!$Y$43:$AE$44,'[1]감독 순번'!B37)+COUNTIF([1]감독시간표!$X$46,'[1]감독 순번'!B37)+COUNTIF([1]감독시간표!$AG$46,'[1]감독 순번'!B37)</f>
        <v>#VALUE!</v>
      </c>
      <c r="G37" s="178" t="e">
        <f t="shared" si="0"/>
        <v>#VALUE!</v>
      </c>
      <c r="H37" s="179"/>
      <c r="I37" s="177"/>
      <c r="J37" s="177"/>
      <c r="K37" s="180"/>
      <c r="L37" s="181"/>
      <c r="M37" s="182"/>
      <c r="N37" s="182"/>
      <c r="O37" s="182"/>
      <c r="P37" s="185"/>
      <c r="Q37" s="51"/>
    </row>
    <row r="38" spans="2:17" ht="19.95" customHeight="1">
      <c r="B38" s="184">
        <v>34</v>
      </c>
      <c r="C38" s="187" t="str">
        <f>[1]감독시간표!Q55</f>
        <v>조은채</v>
      </c>
      <c r="D38" s="177" t="e">
        <f>COUNTIF([1]감독시간표!$L$10:$S$10,'[1]감독 순번'!B38)+COUNTIF([1]감독시간표!$Y$10:$AE$10,'[1]감독 순번'!B38)+COUNTIF([1]감독시간표!$E$16:$K$16,'[1]감독 순번'!B38)+COUNTIF([1]감독시간표!$T$16:$V$16,'[1]감독 순번'!B38)+COUNTIF([1]감독시간표!$AI$16,'[1]감독 순번'!B38)+COUNTIF([1]감독시간표!$E$19:$S$19,'[1]감독 순번'!B38)+COUNTIF([1]감독시간표!$Y$19:$AE$19,'[1]감독 순번'!B38)+COUNTIF([1]감독시간표!$E$25:$K$25,'[1]감독 순번'!B38)+COUNTIF([1]감독시간표!$T$25:$V$25,'[1]감독 순번'!B38)+COUNTIF([1]감독시간표!$Y$25:$AA$25,'[1]감독 순번'!B38)+COUNTIF([1]감독시간표!$E$28:$S$28,'[1]감독 순번'!B38)+COUNTIF([1]감독시간표!$AA$28:$AC$28,'[1]감독 순번'!B38)+COUNTIF([1]감독시간표!$AF$28:$AI$28,'[1]감독 순번'!B38)+COUNTIF([1]감독시간표!$E$34:$P$34,'[1]감독 순번'!B38)+COUNTIF([1]감독시간표!$AF$34:$AH$34,'[1]감독 순번'!B38)+COUNTIF([1]감독시간표!$E$40:$S$40,'[1]감독 순번'!B38)+COUNTIF([1]감독시간표!$Y$40:$AE$40,'[1]감독 순번'!B38)+COUNTIF([1]감독시간표!$E$46:$Q$46,'[1]감독 순번'!B38)+COUNTIF([1]감독시간표!$Y$46:$AC$46,'[1]감독 순번'!B38)</f>
        <v>#VALUE!</v>
      </c>
      <c r="E38" s="191" t="e">
        <f>COUNTIF([1]감독시간표!$L$11:$S$11,'[1]감독 순번'!B38)+COUNTIF([1]감독시간표!$Y$11:$AE$11,'[1]감독 순번'!B38)+COUNTIF([1]감독시간표!$E$17:$K$17,'[1]감독 순번'!B38)+COUNTIF([1]감독시간표!$T$17:$V$17,'[1]감독 순번'!B38)+COUNTIF([1]감독시간표!$AI$17,'[1]감독 순번'!B38)+COUNTIF([1]감독시간표!$E$20:$S$20,'[1]감독 순번'!B38)+COUNTIF([1]감독시간표!$Y$20:$AE$20,'[1]감독 순번'!B38)+COUNTIF([1]감독시간표!$E$26:$K$26,'[1]감독 순번'!B38)+COUNTIF([1]감독시간표!$T$26:$V$26,'[1]감독 순번'!B38)+COUNTIF([1]감독시간표!$Y$26:$AA$26,'[1]감독 순번'!B38)+COUNTIF([1]감독시간표!$E$29:$S$29,'[1]감독 순번'!B38)+COUNTIF([1]감독시간표!$AA$29:$AC$29,'[1]감독 순번'!B38)+COUNTIF([1]감독시간표!$AF$29:$AI$29,'[1]감독 순번'!B38)+COUNTIF([1]감독시간표!$E$35:$P$35,'[1]감독 순번'!B38)+COUNTIF([1]감독시간표!$AF$35:$AH$35,'[1]감독 순번'!B38)+COUNTIF([1]감독시간표!$E$41:$S$41,'[1]감독 순번'!B38)+COUNTIF([1]감독시간표!$Y$41:$AE$41,'[1]감독 순번'!B38)+COUNTIF([1]감독시간표!$E$47:$Q$47,'[1]감독 순번'!B38)+COUNTIF([1]감독시간표!$Y$47:$AC$47,'[1]감독 순번'!B38)</f>
        <v>#VALUE!</v>
      </c>
      <c r="F38" s="177" t="e">
        <f>COUNTIF([1]감독시간표!$E$10:$K$11,'[1]감독 순번'!B38)+COUNTIF([1]감독시간표!$E$13:$S$14,'[1]감독 순번'!B38)+COUNTIF([1]감독시간표!$Y$13:$AE$14,'[1]감독 순번'!B38)+COUNTIF([1]감독시간표!$L$16:$S$17,'[1]감독 순번'!B38)+COUNTIF([1]감독시간표!$Y$16:$AE$17,'[1]감독 순번'!B38)+COUNTIF([1]감독시간표!$E$22:$S$23,'[1]감독 순번'!B38)+COUNTIF([1]감독시간표!$Y$22:$AE$23,'[1]감독 순번'!B38)+COUNTIF([1]감독시간표!$L$25:$S$26,'[1]감독 순번'!B38)+COUNTIF([1]감독시간표!$AJ$25:$AK$26,'[1]감독 순번'!B38)+COUNTIF([1]감독시간표!$E$31:$S$32,'[1]감독 순번'!B38)+COUNTIF([1]감독시간표!$Y$31:$AE$32,'[1]감독 순번'!B38)+COUNTIF([1]감독시간표!$W$34:$AE$35,'[1]감독 순번'!B38)+COUNTIF([1]감독시간표!$E$37:$S$38,'[1]감독 순번'!B38)+COUNTIF([1]감독시간표!$Y$37:$AE$38,'[1]감독 순번'!B38)+COUNTIF([1]감독시간표!$E$43:$S$44,'[1]감독 순번'!B38)+COUNTIF([1]감독시간표!$Y$43:$AE$44,'[1]감독 순번'!B38)+COUNTIF([1]감독시간표!$X$46,'[1]감독 순번'!B38)+COUNTIF([1]감독시간표!$AG$46,'[1]감독 순번'!B38)</f>
        <v>#VALUE!</v>
      </c>
      <c r="G38" s="178" t="e">
        <f t="shared" si="0"/>
        <v>#VALUE!</v>
      </c>
      <c r="H38" s="179"/>
      <c r="I38" s="177"/>
      <c r="J38" s="177"/>
      <c r="K38" s="180"/>
      <c r="L38" s="181"/>
      <c r="M38" s="182"/>
      <c r="N38" s="182"/>
      <c r="O38" s="182"/>
      <c r="P38" s="185"/>
      <c r="Q38" s="51"/>
    </row>
    <row r="39" spans="2:17" ht="19.95" customHeight="1">
      <c r="B39" s="184">
        <v>35</v>
      </c>
      <c r="C39" s="187" t="str">
        <f>[1]감독시간표!Q56</f>
        <v>한상경</v>
      </c>
      <c r="D39" s="177" t="e">
        <f>COUNTIF([1]감독시간표!$L$10:$S$10,'[1]감독 순번'!B39)+COUNTIF([1]감독시간표!$Y$10:$AE$10,'[1]감독 순번'!B39)+COUNTIF([1]감독시간표!$E$16:$K$16,'[1]감독 순번'!B39)+COUNTIF([1]감독시간표!$T$16:$V$16,'[1]감독 순번'!B39)+COUNTIF([1]감독시간표!$AI$16,'[1]감독 순번'!B39)+COUNTIF([1]감독시간표!$E$19:$S$19,'[1]감독 순번'!B39)+COUNTIF([1]감독시간표!$Y$19:$AE$19,'[1]감독 순번'!B39)+COUNTIF([1]감독시간표!$E$25:$K$25,'[1]감독 순번'!B39)+COUNTIF([1]감독시간표!$T$25:$V$25,'[1]감독 순번'!B39)+COUNTIF([1]감독시간표!$Y$25:$AA$25,'[1]감독 순번'!B39)+COUNTIF([1]감독시간표!$E$28:$S$28,'[1]감독 순번'!B39)+COUNTIF([1]감독시간표!$AA$28:$AC$28,'[1]감독 순번'!B39)+COUNTIF([1]감독시간표!$AF$28:$AI$28,'[1]감독 순번'!B39)+COUNTIF([1]감독시간표!$E$34:$P$34,'[1]감독 순번'!B39)+COUNTIF([1]감독시간표!$AF$34:$AH$34,'[1]감독 순번'!B39)+COUNTIF([1]감독시간표!$E$40:$S$40,'[1]감독 순번'!B39)+COUNTIF([1]감독시간표!$Y$40:$AE$40,'[1]감독 순번'!B39)+COUNTIF([1]감독시간표!$E$46:$Q$46,'[1]감독 순번'!B39)+COUNTIF([1]감독시간표!$Y$46:$AC$46,'[1]감독 순번'!B39)</f>
        <v>#VALUE!</v>
      </c>
      <c r="E39" s="177" t="e">
        <f>COUNTIF([1]감독시간표!$L$11:$S$11,'[1]감독 순번'!B39)+COUNTIF([1]감독시간표!$Y$11:$AE$11,'[1]감독 순번'!B39)+COUNTIF([1]감독시간표!$E$17:$K$17,'[1]감독 순번'!B39)+COUNTIF([1]감독시간표!$T$17:$V$17,'[1]감독 순번'!B39)+COUNTIF([1]감독시간표!$AI$17,'[1]감독 순번'!B39)+COUNTIF([1]감독시간표!$E$20:$S$20,'[1]감독 순번'!B39)+COUNTIF([1]감독시간표!$Y$20:$AE$20,'[1]감독 순번'!B39)+COUNTIF([1]감독시간표!$E$26:$K$26,'[1]감독 순번'!B39)+COUNTIF([1]감독시간표!$T$26:$V$26,'[1]감독 순번'!B39)+COUNTIF([1]감독시간표!$Y$26:$AA$26,'[1]감독 순번'!B39)+COUNTIF([1]감독시간표!$E$29:$S$29,'[1]감독 순번'!B39)+COUNTIF([1]감독시간표!$AA$29:$AC$29,'[1]감독 순번'!B39)+COUNTIF([1]감독시간표!$AF$29:$AI$29,'[1]감독 순번'!B39)+COUNTIF([1]감독시간표!$E$35:$P$35,'[1]감독 순번'!B39)+COUNTIF([1]감독시간표!$AF$35:$AH$35,'[1]감독 순번'!B39)+COUNTIF([1]감독시간표!$E$41:$S$41,'[1]감독 순번'!B39)+COUNTIF([1]감독시간표!$Y$41:$AE$41,'[1]감독 순번'!B39)+COUNTIF([1]감독시간표!$E$47:$Q$47,'[1]감독 순번'!B39)+COUNTIF([1]감독시간표!$Y$47:$AC$47,'[1]감독 순번'!B39)</f>
        <v>#VALUE!</v>
      </c>
      <c r="F39" s="177" t="e">
        <f>COUNTIF([1]감독시간표!$E$10:$K$11,'[1]감독 순번'!B39)+COUNTIF([1]감독시간표!$E$13:$S$14,'[1]감독 순번'!B39)+COUNTIF([1]감독시간표!$Y$13:$AE$14,'[1]감독 순번'!B39)+COUNTIF([1]감독시간표!$L$16:$S$17,'[1]감독 순번'!B39)+COUNTIF([1]감독시간표!$Y$16:$AE$17,'[1]감독 순번'!B39)+COUNTIF([1]감독시간표!$E$22:$S$23,'[1]감독 순번'!B39)+COUNTIF([1]감독시간표!$Y$22:$AE$23,'[1]감독 순번'!B39)+COUNTIF([1]감독시간표!$L$25:$S$26,'[1]감독 순번'!B39)+COUNTIF([1]감독시간표!$AJ$25:$AK$26,'[1]감독 순번'!B39)+COUNTIF([1]감독시간표!$E$31:$S$32,'[1]감독 순번'!B39)+COUNTIF([1]감독시간표!$Y$31:$AE$32,'[1]감독 순번'!B39)+COUNTIF([1]감독시간표!$W$34:$AE$35,'[1]감독 순번'!B39)+COUNTIF([1]감독시간표!$E$37:$S$38,'[1]감독 순번'!B39)+COUNTIF([1]감독시간표!$Y$37:$AE$38,'[1]감독 순번'!B39)+COUNTIF([1]감독시간표!$E$43:$S$44,'[1]감독 순번'!B39)+COUNTIF([1]감독시간표!$Y$43:$AE$44,'[1]감독 순번'!B39)+COUNTIF([1]감독시간표!$X$46,'[1]감독 순번'!B39)+COUNTIF([1]감독시간표!$AG$46,'[1]감독 순번'!B39)</f>
        <v>#VALUE!</v>
      </c>
      <c r="G39" s="178" t="e">
        <f t="shared" si="0"/>
        <v>#VALUE!</v>
      </c>
      <c r="H39" s="179"/>
      <c r="I39" s="177"/>
      <c r="J39" s="177"/>
      <c r="K39" s="180"/>
      <c r="L39" s="181"/>
      <c r="M39" s="182"/>
      <c r="N39" s="182"/>
      <c r="O39" s="182"/>
      <c r="P39" s="185"/>
      <c r="Q39" s="51"/>
    </row>
    <row r="40" spans="2:17" ht="19.95" customHeight="1">
      <c r="B40" s="184">
        <v>36</v>
      </c>
      <c r="C40" s="187" t="str">
        <f>[1]감독시간표!Q57</f>
        <v>송형래</v>
      </c>
      <c r="D40" s="177" t="e">
        <f>COUNTIF([1]감독시간표!$L$10:$S$10,'[1]감독 순번'!B40)+COUNTIF([1]감독시간표!$Y$10:$AE$10,'[1]감독 순번'!B40)+COUNTIF([1]감독시간표!$E$16:$K$16,'[1]감독 순번'!B40)+COUNTIF([1]감독시간표!$T$16:$V$16,'[1]감독 순번'!B40)+COUNTIF([1]감독시간표!$AI$16,'[1]감독 순번'!B40)+COUNTIF([1]감독시간표!$E$19:$S$19,'[1]감독 순번'!B40)+COUNTIF([1]감독시간표!$Y$19:$AE$19,'[1]감독 순번'!B40)+COUNTIF([1]감독시간표!$E$25:$K$25,'[1]감독 순번'!B40)+COUNTIF([1]감독시간표!$T$25:$V$25,'[1]감독 순번'!B40)+COUNTIF([1]감독시간표!$Y$25:$AA$25,'[1]감독 순번'!B40)+COUNTIF([1]감독시간표!$E$28:$S$28,'[1]감독 순번'!B40)+COUNTIF([1]감독시간표!$AA$28:$AC$28,'[1]감독 순번'!B40)+COUNTIF([1]감독시간표!$AF$28:$AI$28,'[1]감독 순번'!B40)+COUNTIF([1]감독시간표!$E$34:$P$34,'[1]감독 순번'!B40)+COUNTIF([1]감독시간표!$AF$34:$AH$34,'[1]감독 순번'!B40)+COUNTIF([1]감독시간표!$E$40:$S$40,'[1]감독 순번'!B40)+COUNTIF([1]감독시간표!$Y$40:$AE$40,'[1]감독 순번'!B40)+COUNTIF([1]감독시간표!$E$46:$Q$46,'[1]감독 순번'!B40)+COUNTIF([1]감독시간표!$Y$46:$AC$46,'[1]감독 순번'!B40)</f>
        <v>#VALUE!</v>
      </c>
      <c r="E40" s="177" t="e">
        <f>COUNTIF([1]감독시간표!$L$11:$S$11,'[1]감독 순번'!B40)+COUNTIF([1]감독시간표!$Y$11:$AE$11,'[1]감독 순번'!B40)+COUNTIF([1]감독시간표!$E$17:$K$17,'[1]감독 순번'!B40)+COUNTIF([1]감독시간표!$T$17:$V$17,'[1]감독 순번'!B40)+COUNTIF([1]감독시간표!$AI$17,'[1]감독 순번'!B40)+COUNTIF([1]감독시간표!$E$20:$S$20,'[1]감독 순번'!B40)+COUNTIF([1]감독시간표!$Y$20:$AE$20,'[1]감독 순번'!B40)+COUNTIF([1]감독시간표!$E$26:$K$26,'[1]감독 순번'!B40)+COUNTIF([1]감독시간표!$T$26:$V$26,'[1]감독 순번'!B40)+COUNTIF([1]감독시간표!$Y$26:$AA$26,'[1]감독 순번'!B40)+COUNTIF([1]감독시간표!$E$29:$S$29,'[1]감독 순번'!B40)+COUNTIF([1]감독시간표!$AA$29:$AC$29,'[1]감독 순번'!B40)+COUNTIF([1]감독시간표!$AF$29:$AI$29,'[1]감독 순번'!B40)+COUNTIF([1]감독시간표!$E$35:$P$35,'[1]감독 순번'!B40)+COUNTIF([1]감독시간표!$AF$35:$AH$35,'[1]감독 순번'!B40)+COUNTIF([1]감독시간표!$E$41:$S$41,'[1]감독 순번'!B40)+COUNTIF([1]감독시간표!$Y$41:$AE$41,'[1]감독 순번'!B40)+COUNTIF([1]감독시간표!$E$47:$Q$47,'[1]감독 순번'!B40)+COUNTIF([1]감독시간표!$Y$47:$AC$47,'[1]감독 순번'!B40)</f>
        <v>#VALUE!</v>
      </c>
      <c r="F40" s="177" t="e">
        <f>COUNTIF([1]감독시간표!$E$10:$K$11,'[1]감독 순번'!B40)+COUNTIF([1]감독시간표!$E$13:$S$14,'[1]감독 순번'!B40)+COUNTIF([1]감독시간표!$Y$13:$AE$14,'[1]감독 순번'!B40)+COUNTIF([1]감독시간표!$L$16:$S$17,'[1]감독 순번'!B40)+COUNTIF([1]감독시간표!$Y$16:$AE$17,'[1]감독 순번'!B40)+COUNTIF([1]감독시간표!$E$22:$S$23,'[1]감독 순번'!B40)+COUNTIF([1]감독시간표!$Y$22:$AE$23,'[1]감독 순번'!B40)+COUNTIF([1]감독시간표!$L$25:$S$26,'[1]감독 순번'!B40)+COUNTIF([1]감독시간표!$AJ$25:$AK$26,'[1]감독 순번'!B40)+COUNTIF([1]감독시간표!$E$31:$S$32,'[1]감독 순번'!B40)+COUNTIF([1]감독시간표!$Y$31:$AE$32,'[1]감독 순번'!B40)+COUNTIF([1]감독시간표!$W$34:$AE$35,'[1]감독 순번'!B40)+COUNTIF([1]감독시간표!$E$37:$S$38,'[1]감독 순번'!B40)+COUNTIF([1]감독시간표!$Y$37:$AE$38,'[1]감독 순번'!B40)+COUNTIF([1]감독시간표!$E$43:$S$44,'[1]감독 순번'!B40)+COUNTIF([1]감독시간표!$Y$43:$AE$44,'[1]감독 순번'!B40)+COUNTIF([1]감독시간표!$X$46,'[1]감독 순번'!B40)+COUNTIF([1]감독시간표!$AG$46,'[1]감독 순번'!B40)</f>
        <v>#VALUE!</v>
      </c>
      <c r="G40" s="178" t="e">
        <f t="shared" si="0"/>
        <v>#VALUE!</v>
      </c>
      <c r="H40" s="179"/>
      <c r="I40" s="177"/>
      <c r="J40" s="177"/>
      <c r="K40" s="180"/>
      <c r="L40" s="181"/>
      <c r="M40" s="182"/>
      <c r="N40" s="182"/>
      <c r="O40" s="182"/>
      <c r="P40" s="185"/>
      <c r="Q40" s="51"/>
    </row>
    <row r="41" spans="2:17" ht="19.95" customHeight="1">
      <c r="B41" s="184">
        <v>37</v>
      </c>
      <c r="C41" s="187" t="str">
        <f>[1]감독시간표!Q58</f>
        <v>전유현</v>
      </c>
      <c r="D41" s="177" t="e">
        <f>COUNTIF([1]감독시간표!$L$10:$S$10,'[1]감독 순번'!B41)+COUNTIF([1]감독시간표!$Y$10:$AE$10,'[1]감독 순번'!B41)+COUNTIF([1]감독시간표!$E$16:$K$16,'[1]감독 순번'!B41)+COUNTIF([1]감독시간표!$T$16:$V$16,'[1]감독 순번'!B41)+COUNTIF([1]감독시간표!$AI$16,'[1]감독 순번'!B41)+COUNTIF([1]감독시간표!$E$19:$S$19,'[1]감독 순번'!B41)+COUNTIF([1]감독시간표!$Y$19:$AE$19,'[1]감독 순번'!B41)+COUNTIF([1]감독시간표!$E$25:$K$25,'[1]감독 순번'!B41)+COUNTIF([1]감독시간표!$T$25:$V$25,'[1]감독 순번'!B41)+COUNTIF([1]감독시간표!$Y$25:$AA$25,'[1]감독 순번'!B41)+COUNTIF([1]감독시간표!$E$28:$S$28,'[1]감독 순번'!B41)+COUNTIF([1]감독시간표!$AA$28:$AC$28,'[1]감독 순번'!B41)+COUNTIF([1]감독시간표!$AF$28:$AI$28,'[1]감독 순번'!B41)+COUNTIF([1]감독시간표!$E$34:$P$34,'[1]감독 순번'!B41)+COUNTIF([1]감독시간표!$AF$34:$AH$34,'[1]감독 순번'!B41)+COUNTIF([1]감독시간표!$E$40:$S$40,'[1]감독 순번'!B41)+COUNTIF([1]감독시간표!$Y$40:$AE$40,'[1]감독 순번'!B41)+COUNTIF([1]감독시간표!$E$46:$Q$46,'[1]감독 순번'!B41)+COUNTIF([1]감독시간표!$Y$46:$AC$46,'[1]감독 순번'!B41)</f>
        <v>#VALUE!</v>
      </c>
      <c r="E41" s="177" t="e">
        <f>COUNTIF([1]감독시간표!$L$11:$S$11,'[1]감독 순번'!B41)+COUNTIF([1]감독시간표!$Y$11:$AE$11,'[1]감독 순번'!B41)+COUNTIF([1]감독시간표!$E$17:$K$17,'[1]감독 순번'!B41)+COUNTIF([1]감독시간표!$T$17:$V$17,'[1]감독 순번'!B41)+COUNTIF([1]감독시간표!$AI$17,'[1]감독 순번'!B41)+COUNTIF([1]감독시간표!$E$20:$S$20,'[1]감독 순번'!B41)+COUNTIF([1]감독시간표!$Y$20:$AE$20,'[1]감독 순번'!B41)+COUNTIF([1]감독시간표!$E$26:$K$26,'[1]감독 순번'!B41)+COUNTIF([1]감독시간표!$T$26:$V$26,'[1]감독 순번'!B41)+COUNTIF([1]감독시간표!$Y$26:$AA$26,'[1]감독 순번'!B41)+COUNTIF([1]감독시간표!$E$29:$S$29,'[1]감독 순번'!B41)+COUNTIF([1]감독시간표!$AA$29:$AC$29,'[1]감독 순번'!B41)+COUNTIF([1]감독시간표!$AF$29:$AI$29,'[1]감독 순번'!B41)+COUNTIF([1]감독시간표!$E$35:$P$35,'[1]감독 순번'!B41)+COUNTIF([1]감독시간표!$AF$35:$AH$35,'[1]감독 순번'!B41)+COUNTIF([1]감독시간표!$E$41:$S$41,'[1]감독 순번'!B41)+COUNTIF([1]감독시간표!$Y$41:$AE$41,'[1]감독 순번'!B41)+COUNTIF([1]감독시간표!$E$47:$Q$47,'[1]감독 순번'!B41)+COUNTIF([1]감독시간표!$Y$47:$AC$47,'[1]감독 순번'!B41)</f>
        <v>#VALUE!</v>
      </c>
      <c r="F41" s="177" t="e">
        <f>COUNTIF([1]감독시간표!$E$10:$K$11,'[1]감독 순번'!B41)+COUNTIF([1]감독시간표!$E$13:$S$14,'[1]감독 순번'!B41)+COUNTIF([1]감독시간표!$Y$13:$AE$14,'[1]감독 순번'!B41)+COUNTIF([1]감독시간표!$L$16:$S$17,'[1]감독 순번'!B41)+COUNTIF([1]감독시간표!$Y$16:$AE$17,'[1]감독 순번'!B41)+COUNTIF([1]감독시간표!$E$22:$S$23,'[1]감독 순번'!B41)+COUNTIF([1]감독시간표!$Y$22:$AE$23,'[1]감독 순번'!B41)+COUNTIF([1]감독시간표!$L$25:$S$26,'[1]감독 순번'!B41)+COUNTIF([1]감독시간표!$AJ$25:$AK$26,'[1]감독 순번'!B41)+COUNTIF([1]감독시간표!$E$31:$S$32,'[1]감독 순번'!B41)+COUNTIF([1]감독시간표!$Y$31:$AE$32,'[1]감독 순번'!B41)+COUNTIF([1]감독시간표!$W$34:$AE$35,'[1]감독 순번'!B41)+COUNTIF([1]감독시간표!$E$37:$S$38,'[1]감독 순번'!B41)+COUNTIF([1]감독시간표!$Y$37:$AE$38,'[1]감독 순번'!B41)+COUNTIF([1]감독시간표!$E$43:$S$44,'[1]감독 순번'!B41)+COUNTIF([1]감독시간표!$Y$43:$AE$44,'[1]감독 순번'!B41)+COUNTIF([1]감독시간표!$X$46,'[1]감독 순번'!B41)+COUNTIF([1]감독시간표!$AG$46,'[1]감독 순번'!B41)</f>
        <v>#VALUE!</v>
      </c>
      <c r="G41" s="178" t="e">
        <f t="shared" si="0"/>
        <v>#VALUE!</v>
      </c>
      <c r="H41" s="179"/>
      <c r="I41" s="177"/>
      <c r="J41" s="177"/>
      <c r="K41" s="180"/>
      <c r="L41" s="181"/>
      <c r="M41" s="182"/>
      <c r="N41" s="182"/>
      <c r="O41" s="182"/>
      <c r="P41" s="185"/>
      <c r="Q41" s="51"/>
    </row>
    <row r="42" spans="2:17" ht="19.95" customHeight="1">
      <c r="B42" s="184">
        <v>38</v>
      </c>
      <c r="C42" s="187" t="str">
        <f>[1]감독시간표!Q59</f>
        <v>김유진</v>
      </c>
      <c r="D42" s="177" t="e">
        <f>COUNTIF([1]감독시간표!$L$10:$S$10,'[1]감독 순번'!B42)+COUNTIF([1]감독시간표!$Y$10:$AE$10,'[1]감독 순번'!B42)+COUNTIF([1]감독시간표!$E$16:$K$16,'[1]감독 순번'!B42)+COUNTIF([1]감독시간표!$T$16:$V$16,'[1]감독 순번'!B42)+COUNTIF([1]감독시간표!$AI$16,'[1]감독 순번'!B42)+COUNTIF([1]감독시간표!$E$19:$S$19,'[1]감독 순번'!B42)+COUNTIF([1]감독시간표!$Y$19:$AE$19,'[1]감독 순번'!B42)+COUNTIF([1]감독시간표!$E$25:$K$25,'[1]감독 순번'!B42)+COUNTIF([1]감독시간표!$T$25:$V$25,'[1]감독 순번'!B42)+COUNTIF([1]감독시간표!$Y$25:$AA$25,'[1]감독 순번'!B42)+COUNTIF([1]감독시간표!$E$28:$S$28,'[1]감독 순번'!B42)+COUNTIF([1]감독시간표!$AA$28:$AC$28,'[1]감독 순번'!B42)+COUNTIF([1]감독시간표!$AF$28:$AI$28,'[1]감독 순번'!B42)+COUNTIF([1]감독시간표!$E$34:$P$34,'[1]감독 순번'!B42)+COUNTIF([1]감독시간표!$AF$34:$AH$34,'[1]감독 순번'!B42)+COUNTIF([1]감독시간표!$E$40:$S$40,'[1]감독 순번'!B42)+COUNTIF([1]감독시간표!$Y$40:$AE$40,'[1]감독 순번'!B42)+COUNTIF([1]감독시간표!$E$46:$Q$46,'[1]감독 순번'!B42)+COUNTIF([1]감독시간표!$Y$46:$AC$46,'[1]감독 순번'!B42)</f>
        <v>#VALUE!</v>
      </c>
      <c r="E42" s="177" t="e">
        <f>COUNTIF([1]감독시간표!$L$11:$S$11,'[1]감독 순번'!B42)+COUNTIF([1]감독시간표!$Y$11:$AE$11,'[1]감독 순번'!B42)+COUNTIF([1]감독시간표!$E$17:$K$17,'[1]감독 순번'!B42)+COUNTIF([1]감독시간표!$T$17:$V$17,'[1]감독 순번'!B42)+COUNTIF([1]감독시간표!$AI$17,'[1]감독 순번'!B42)+COUNTIF([1]감독시간표!$E$20:$S$20,'[1]감독 순번'!B42)+COUNTIF([1]감독시간표!$Y$20:$AE$20,'[1]감독 순번'!B42)+COUNTIF([1]감독시간표!$E$26:$K$26,'[1]감독 순번'!B42)+COUNTIF([1]감독시간표!$T$26:$V$26,'[1]감독 순번'!B42)+COUNTIF([1]감독시간표!$Y$26:$AA$26,'[1]감독 순번'!B42)+COUNTIF([1]감독시간표!$E$29:$S$29,'[1]감독 순번'!B42)+COUNTIF([1]감독시간표!$AA$29:$AC$29,'[1]감독 순번'!B42)+COUNTIF([1]감독시간표!$AF$29:$AI$29,'[1]감독 순번'!B42)+COUNTIF([1]감독시간표!$E$35:$P$35,'[1]감독 순번'!B42)+COUNTIF([1]감독시간표!$AF$35:$AH$35,'[1]감독 순번'!B42)+COUNTIF([1]감독시간표!$E$41:$S$41,'[1]감독 순번'!B42)+COUNTIF([1]감독시간표!$Y$41:$AE$41,'[1]감독 순번'!B42)+COUNTIF([1]감독시간표!$E$47:$Q$47,'[1]감독 순번'!B42)+COUNTIF([1]감독시간표!$Y$47:$AC$47,'[1]감독 순번'!B42)</f>
        <v>#VALUE!</v>
      </c>
      <c r="F42" s="177" t="e">
        <f>COUNTIF([1]감독시간표!$E$10:$K$11,'[1]감독 순번'!B42)+COUNTIF([1]감독시간표!$E$13:$S$14,'[1]감독 순번'!B42)+COUNTIF([1]감독시간표!$Y$13:$AE$14,'[1]감독 순번'!B42)+COUNTIF([1]감독시간표!$L$16:$S$17,'[1]감독 순번'!B42)+COUNTIF([1]감독시간표!$Y$16:$AE$17,'[1]감독 순번'!B42)+COUNTIF([1]감독시간표!$E$22:$S$23,'[1]감독 순번'!B42)+COUNTIF([1]감독시간표!$Y$22:$AE$23,'[1]감독 순번'!B42)+COUNTIF([1]감독시간표!$L$25:$S$26,'[1]감독 순번'!B42)+COUNTIF([1]감독시간표!$AJ$25:$AK$26,'[1]감독 순번'!B42)+COUNTIF([1]감독시간표!$E$31:$S$32,'[1]감독 순번'!B42)+COUNTIF([1]감독시간표!$Y$31:$AE$32,'[1]감독 순번'!B42)+COUNTIF([1]감독시간표!$W$34:$AE$35,'[1]감독 순번'!B42)+COUNTIF([1]감독시간표!$E$37:$S$38,'[1]감독 순번'!B42)+COUNTIF([1]감독시간표!$Y$37:$AE$38,'[1]감독 순번'!B42)+COUNTIF([1]감독시간표!$E$43:$S$44,'[1]감독 순번'!B42)+COUNTIF([1]감독시간표!$Y$43:$AE$44,'[1]감독 순번'!B42)+COUNTIF([1]감독시간표!$X$46,'[1]감독 순번'!B42)+COUNTIF([1]감독시간표!$AG$46,'[1]감독 순번'!B42)</f>
        <v>#VALUE!</v>
      </c>
      <c r="G42" s="178" t="e">
        <f t="shared" si="0"/>
        <v>#VALUE!</v>
      </c>
      <c r="H42" s="179"/>
      <c r="I42" s="177"/>
      <c r="J42" s="177"/>
      <c r="K42" s="180"/>
      <c r="L42" s="181"/>
      <c r="M42" s="182"/>
      <c r="N42" s="182"/>
      <c r="O42" s="182"/>
      <c r="P42" s="192"/>
      <c r="Q42" s="51"/>
    </row>
    <row r="43" spans="2:17" ht="19.95" customHeight="1">
      <c r="B43" s="184">
        <v>39</v>
      </c>
      <c r="C43" s="187" t="str">
        <f>[1]감독시간표!Q60</f>
        <v>차미숙</v>
      </c>
      <c r="D43" s="177" t="e">
        <f>COUNTIF([1]감독시간표!$L$10:$S$10,'[1]감독 순번'!B43)+COUNTIF([1]감독시간표!$Y$10:$AE$10,'[1]감독 순번'!B43)+COUNTIF([1]감독시간표!$E$16:$K$16,'[1]감독 순번'!B43)+COUNTIF([1]감독시간표!$T$16:$V$16,'[1]감독 순번'!B43)+COUNTIF([1]감독시간표!$AI$16,'[1]감독 순번'!B43)+COUNTIF([1]감독시간표!$E$19:$S$19,'[1]감독 순번'!B43)+COUNTIF([1]감독시간표!$Y$19:$AE$19,'[1]감독 순번'!B43)+COUNTIF([1]감독시간표!$E$25:$K$25,'[1]감독 순번'!B43)+COUNTIF([1]감독시간표!$T$25:$V$25,'[1]감독 순번'!B43)+COUNTIF([1]감독시간표!$Y$25:$AA$25,'[1]감독 순번'!B43)+COUNTIF([1]감독시간표!$E$28:$S$28,'[1]감독 순번'!B43)+COUNTIF([1]감독시간표!$AA$28:$AC$28,'[1]감독 순번'!B43)+COUNTIF([1]감독시간표!$AF$28:$AI$28,'[1]감독 순번'!B43)+COUNTIF([1]감독시간표!$E$34:$P$34,'[1]감독 순번'!B43)+COUNTIF([1]감독시간표!$AF$34:$AH$34,'[1]감독 순번'!B43)+COUNTIF([1]감독시간표!$E$40:$S$40,'[1]감독 순번'!B43)+COUNTIF([1]감독시간표!$Y$40:$AE$40,'[1]감독 순번'!B43)+COUNTIF([1]감독시간표!$E$46:$Q$46,'[1]감독 순번'!B43)+COUNTIF([1]감독시간표!$Y$46:$AC$46,'[1]감독 순번'!B43)</f>
        <v>#VALUE!</v>
      </c>
      <c r="E43" s="177" t="e">
        <f>COUNTIF([1]감독시간표!$L$11:$S$11,'[1]감독 순번'!B43)+COUNTIF([1]감독시간표!$Y$11:$AE$11,'[1]감독 순번'!B43)+COUNTIF([1]감독시간표!$E$17:$K$17,'[1]감독 순번'!B43)+COUNTIF([1]감독시간표!$T$17:$V$17,'[1]감독 순번'!B43)+COUNTIF([1]감독시간표!$AI$17,'[1]감독 순번'!B43)+COUNTIF([1]감독시간표!$E$20:$S$20,'[1]감독 순번'!B43)+COUNTIF([1]감독시간표!$Y$20:$AE$20,'[1]감독 순번'!B43)+COUNTIF([1]감독시간표!$E$26:$K$26,'[1]감독 순번'!B43)+COUNTIF([1]감독시간표!$T$26:$V$26,'[1]감독 순번'!B43)+COUNTIF([1]감독시간표!$Y$26:$AA$26,'[1]감독 순번'!B43)+COUNTIF([1]감독시간표!$E$29:$S$29,'[1]감독 순번'!B43)+COUNTIF([1]감독시간표!$AA$29:$AC$29,'[1]감독 순번'!B43)+COUNTIF([1]감독시간표!$AF$29:$AI$29,'[1]감독 순번'!B43)+COUNTIF([1]감독시간표!$E$35:$P$35,'[1]감독 순번'!B43)+COUNTIF([1]감독시간표!$AF$35:$AH$35,'[1]감독 순번'!B43)+COUNTIF([1]감독시간표!$E$41:$S$41,'[1]감독 순번'!B43)+COUNTIF([1]감독시간표!$Y$41:$AE$41,'[1]감독 순번'!B43)+COUNTIF([1]감독시간표!$E$47:$Q$47,'[1]감독 순번'!B43)+COUNTIF([1]감독시간표!$Y$47:$AC$47,'[1]감독 순번'!B43)</f>
        <v>#VALUE!</v>
      </c>
      <c r="F43" s="177" t="e">
        <f>COUNTIF([1]감독시간표!$E$10:$K$11,'[1]감독 순번'!B43)+COUNTIF([1]감독시간표!$E$13:$S$14,'[1]감독 순번'!B43)+COUNTIF([1]감독시간표!$Y$13:$AE$14,'[1]감독 순번'!B43)+COUNTIF([1]감독시간표!$L$16:$S$17,'[1]감독 순번'!B43)+COUNTIF([1]감독시간표!$Y$16:$AE$17,'[1]감독 순번'!B43)+COUNTIF([1]감독시간표!$E$22:$S$23,'[1]감독 순번'!B43)+COUNTIF([1]감독시간표!$Y$22:$AE$23,'[1]감독 순번'!B43)+COUNTIF([1]감독시간표!$L$25:$S$26,'[1]감독 순번'!B43)+COUNTIF([1]감독시간표!$AJ$25:$AK$26,'[1]감독 순번'!B43)+COUNTIF([1]감독시간표!$E$31:$S$32,'[1]감독 순번'!B43)+COUNTIF([1]감독시간표!$Y$31:$AE$32,'[1]감독 순번'!B43)+COUNTIF([1]감독시간표!$W$34:$AE$35,'[1]감독 순번'!B43)+COUNTIF([1]감독시간표!$E$37:$S$38,'[1]감독 순번'!B43)+COUNTIF([1]감독시간표!$Y$37:$AE$38,'[1]감독 순번'!B43)+COUNTIF([1]감독시간표!$E$43:$S$44,'[1]감독 순번'!B43)+COUNTIF([1]감독시간표!$Y$43:$AE$44,'[1]감독 순번'!B43)+COUNTIF([1]감독시간표!$X$46,'[1]감독 순번'!B43)+COUNTIF([1]감독시간표!$AG$46,'[1]감독 순번'!B43)</f>
        <v>#VALUE!</v>
      </c>
      <c r="G43" s="178" t="e">
        <f t="shared" si="0"/>
        <v>#VALUE!</v>
      </c>
      <c r="H43" s="179"/>
      <c r="I43" s="177"/>
      <c r="J43" s="177"/>
      <c r="K43" s="180"/>
      <c r="L43" s="181"/>
      <c r="M43" s="182"/>
      <c r="N43" s="182"/>
      <c r="O43" s="182"/>
      <c r="P43" s="185"/>
      <c r="Q43" s="51"/>
    </row>
    <row r="44" spans="2:17" ht="19.95" customHeight="1">
      <c r="B44" s="184">
        <v>40</v>
      </c>
      <c r="C44" s="187" t="str">
        <f>[1]감독시간표!Q61</f>
        <v>이은경</v>
      </c>
      <c r="D44" s="177" t="e">
        <f>COUNTIF([1]감독시간표!$L$10:$S$10,'[1]감독 순번'!B44)+COUNTIF([1]감독시간표!$Y$10:$AE$10,'[1]감독 순번'!B44)+COUNTIF([1]감독시간표!$E$16:$K$16,'[1]감독 순번'!B44)+COUNTIF([1]감독시간표!$T$16:$V$16,'[1]감독 순번'!B44)+COUNTIF([1]감독시간표!$AI$16,'[1]감독 순번'!B44)+COUNTIF([1]감독시간표!$E$19:$S$19,'[1]감독 순번'!B44)+COUNTIF([1]감독시간표!$Y$19:$AE$19,'[1]감독 순번'!B44)+COUNTIF([1]감독시간표!$E$25:$K$25,'[1]감독 순번'!B44)+COUNTIF([1]감독시간표!$T$25:$V$25,'[1]감독 순번'!B44)+COUNTIF([1]감독시간표!$Y$25:$AA$25,'[1]감독 순번'!B44)+COUNTIF([1]감독시간표!$E$28:$S$28,'[1]감독 순번'!B44)+COUNTIF([1]감독시간표!$AA$28:$AC$28,'[1]감독 순번'!B44)+COUNTIF([1]감독시간표!$AF$28:$AI$28,'[1]감독 순번'!B44)+COUNTIF([1]감독시간표!$E$34:$P$34,'[1]감독 순번'!B44)+COUNTIF([1]감독시간표!$AF$34:$AH$34,'[1]감독 순번'!B44)+COUNTIF([1]감독시간표!$E$40:$S$40,'[1]감독 순번'!B44)+COUNTIF([1]감독시간표!$Y$40:$AE$40,'[1]감독 순번'!B44)+COUNTIF([1]감독시간표!$E$46:$Q$46,'[1]감독 순번'!B44)+COUNTIF([1]감독시간표!$Y$46:$AC$46,'[1]감독 순번'!B44)</f>
        <v>#VALUE!</v>
      </c>
      <c r="E44" s="177" t="e">
        <f>COUNTIF([1]감독시간표!$L$11:$S$11,'[1]감독 순번'!B44)+COUNTIF([1]감독시간표!$Y$11:$AE$11,'[1]감독 순번'!B44)+COUNTIF([1]감독시간표!$E$17:$K$17,'[1]감독 순번'!B44)+COUNTIF([1]감독시간표!$T$17:$V$17,'[1]감독 순번'!B44)+COUNTIF([1]감독시간표!$AI$17,'[1]감독 순번'!B44)+COUNTIF([1]감독시간표!$E$20:$S$20,'[1]감독 순번'!B44)+COUNTIF([1]감독시간표!$Y$20:$AE$20,'[1]감독 순번'!B44)+COUNTIF([1]감독시간표!$E$26:$K$26,'[1]감독 순번'!B44)+COUNTIF([1]감독시간표!$T$26:$V$26,'[1]감독 순번'!B44)+COUNTIF([1]감독시간표!$Y$26:$AA$26,'[1]감독 순번'!B44)+COUNTIF([1]감독시간표!$E$29:$S$29,'[1]감독 순번'!B44)+COUNTIF([1]감독시간표!$AA$29:$AC$29,'[1]감독 순번'!B44)+COUNTIF([1]감독시간표!$AF$29:$AI$29,'[1]감독 순번'!B44)+COUNTIF([1]감독시간표!$E$35:$P$35,'[1]감독 순번'!B44)+COUNTIF([1]감독시간표!$AF$35:$AH$35,'[1]감독 순번'!B44)+COUNTIF([1]감독시간표!$E$41:$S$41,'[1]감독 순번'!B44)+COUNTIF([1]감독시간표!$Y$41:$AE$41,'[1]감독 순번'!B44)+COUNTIF([1]감독시간표!$E$47:$Q$47,'[1]감독 순번'!B44)+COUNTIF([1]감독시간표!$Y$47:$AC$47,'[1]감독 순번'!B44)</f>
        <v>#VALUE!</v>
      </c>
      <c r="F44" s="177" t="e">
        <f>COUNTIF([1]감독시간표!$E$10:$K$11,'[1]감독 순번'!B44)+COUNTIF([1]감독시간표!$E$13:$S$14,'[1]감독 순번'!B44)+COUNTIF([1]감독시간표!$Y$13:$AE$14,'[1]감독 순번'!B44)+COUNTIF([1]감독시간표!$L$16:$S$17,'[1]감독 순번'!B44)+COUNTIF([1]감독시간표!$Y$16:$AE$17,'[1]감독 순번'!B44)+COUNTIF([1]감독시간표!$E$22:$S$23,'[1]감독 순번'!B44)+COUNTIF([1]감독시간표!$Y$22:$AE$23,'[1]감독 순번'!B44)+COUNTIF([1]감독시간표!$L$25:$S$26,'[1]감독 순번'!B44)+COUNTIF([1]감독시간표!$AJ$25:$AK$26,'[1]감독 순번'!B44)+COUNTIF([1]감독시간표!$E$31:$S$32,'[1]감독 순번'!B44)+COUNTIF([1]감독시간표!$Y$31:$AE$32,'[1]감독 순번'!B44)+COUNTIF([1]감독시간표!$W$34:$AE$35,'[1]감독 순번'!B44)+COUNTIF([1]감독시간표!$E$37:$S$38,'[1]감독 순번'!B44)+COUNTIF([1]감독시간표!$Y$37:$AE$38,'[1]감독 순번'!B44)+COUNTIF([1]감독시간표!$E$43:$S$44,'[1]감독 순번'!B44)+COUNTIF([1]감독시간표!$Y$43:$AE$44,'[1]감독 순번'!B44)+COUNTIF([1]감독시간표!$X$46,'[1]감독 순번'!B44)+COUNTIF([1]감독시간표!$AG$46,'[1]감독 순번'!B44)</f>
        <v>#VALUE!</v>
      </c>
      <c r="G44" s="193" t="e">
        <f t="shared" si="0"/>
        <v>#VALUE!</v>
      </c>
      <c r="H44" s="194"/>
      <c r="I44" s="177"/>
      <c r="J44" s="177"/>
      <c r="K44" s="180"/>
      <c r="L44" s="181"/>
      <c r="M44" s="182"/>
      <c r="N44" s="182"/>
      <c r="O44" s="182"/>
      <c r="P44" s="195"/>
      <c r="Q44" s="51"/>
    </row>
    <row r="45" spans="2:17" ht="19.95" customHeight="1">
      <c r="B45" s="184">
        <v>41</v>
      </c>
      <c r="C45" s="176" t="str">
        <f>[1]감독시간표!V52</f>
        <v>오수연</v>
      </c>
      <c r="D45" s="177" t="e">
        <f>COUNTIF([1]감독시간표!$L$10:$S$10,'[1]감독 순번'!B45)+COUNTIF([1]감독시간표!$Y$10:$AE$10,'[1]감독 순번'!B45)+COUNTIF([1]감독시간표!$E$16:$K$16,'[1]감독 순번'!B45)+COUNTIF([1]감독시간표!$T$16:$V$16,'[1]감독 순번'!B45)+COUNTIF([1]감독시간표!$AI$16,'[1]감독 순번'!B45)+COUNTIF([1]감독시간표!$E$19:$S$19,'[1]감독 순번'!B45)+COUNTIF([1]감독시간표!$Y$19:$AE$19,'[1]감독 순번'!B45)+COUNTIF([1]감독시간표!$E$25:$K$25,'[1]감독 순번'!B45)+COUNTIF([1]감독시간표!$T$25:$V$25,'[1]감독 순번'!B45)+COUNTIF([1]감독시간표!$Y$25:$AA$25,'[1]감독 순번'!B45)+COUNTIF([1]감독시간표!$E$28:$S$28,'[1]감독 순번'!B45)+COUNTIF([1]감독시간표!$AA$28:$AC$28,'[1]감독 순번'!B45)+COUNTIF([1]감독시간표!$AF$28:$AI$28,'[1]감독 순번'!B45)+COUNTIF([1]감독시간표!$E$34:$P$34,'[1]감독 순번'!B45)+COUNTIF([1]감독시간표!$AF$34:$AH$34,'[1]감독 순번'!B45)+COUNTIF([1]감독시간표!$E$40:$S$40,'[1]감독 순번'!B45)+COUNTIF([1]감독시간표!$Y$40:$AE$40,'[1]감독 순번'!B45)+COUNTIF([1]감독시간표!$E$46:$Q$46,'[1]감독 순번'!B45)+COUNTIF([1]감독시간표!$Y$46:$AC$46,'[1]감독 순번'!B45)</f>
        <v>#VALUE!</v>
      </c>
      <c r="E45" s="177" t="e">
        <f>COUNTIF([1]감독시간표!$L$11:$S$11,'[1]감독 순번'!B45)+COUNTIF([1]감독시간표!$Y$11:$AE$11,'[1]감독 순번'!B45)+COUNTIF([1]감독시간표!$E$17:$K$17,'[1]감독 순번'!B45)+COUNTIF([1]감독시간표!$T$17:$V$17,'[1]감독 순번'!B45)+COUNTIF([1]감독시간표!$AI$17,'[1]감독 순번'!B45)+COUNTIF([1]감독시간표!$E$20:$S$20,'[1]감독 순번'!B45)+COUNTIF([1]감독시간표!$Y$20:$AE$20,'[1]감독 순번'!B45)+COUNTIF([1]감독시간표!$E$26:$K$26,'[1]감독 순번'!B45)+COUNTIF([1]감독시간표!$T$26:$V$26,'[1]감독 순번'!B45)+COUNTIF([1]감독시간표!$Y$26:$AA$26,'[1]감독 순번'!B45)+COUNTIF([1]감독시간표!$E$29:$S$29,'[1]감독 순번'!B45)+COUNTIF([1]감독시간표!$AA$29:$AC$29,'[1]감독 순번'!B45)+COUNTIF([1]감독시간표!$AF$29:$AI$29,'[1]감독 순번'!B45)+COUNTIF([1]감독시간표!$E$35:$P$35,'[1]감독 순번'!B45)+COUNTIF([1]감독시간표!$AF$35:$AH$35,'[1]감독 순번'!B45)+COUNTIF([1]감독시간표!$E$41:$S$41,'[1]감독 순번'!B45)+COUNTIF([1]감독시간표!$Y$41:$AE$41,'[1]감독 순번'!B45)+COUNTIF([1]감독시간표!$E$47:$Q$47,'[1]감독 순번'!B45)+COUNTIF([1]감독시간표!$Y$47:$AC$47,'[1]감독 순번'!B45)</f>
        <v>#VALUE!</v>
      </c>
      <c r="F45" s="177" t="e">
        <f>COUNTIF([1]감독시간표!$E$10:$K$11,'[1]감독 순번'!B45)+COUNTIF([1]감독시간표!$E$13:$S$14,'[1]감독 순번'!B45)+COUNTIF([1]감독시간표!$Y$13:$AE$14,'[1]감독 순번'!B45)+COUNTIF([1]감독시간표!$L$16:$S$17,'[1]감독 순번'!B45)+COUNTIF([1]감독시간표!$Y$16:$AE$17,'[1]감독 순번'!B45)+COUNTIF([1]감독시간표!$E$22:$S$23,'[1]감독 순번'!B45)+COUNTIF([1]감독시간표!$Y$22:$AE$23,'[1]감독 순번'!B45)+COUNTIF([1]감독시간표!$L$25:$S$26,'[1]감독 순번'!B45)+COUNTIF([1]감독시간표!$AJ$25:$AK$26,'[1]감독 순번'!B45)+COUNTIF([1]감독시간표!$E$31:$S$32,'[1]감독 순번'!B45)+COUNTIF([1]감독시간표!$Y$31:$AE$32,'[1]감독 순번'!B45)+COUNTIF([1]감독시간표!$W$34:$AE$35,'[1]감독 순번'!B45)+COUNTIF([1]감독시간표!$E$37:$S$38,'[1]감독 순번'!B45)+COUNTIF([1]감독시간표!$Y$37:$AE$38,'[1]감독 순번'!B45)+COUNTIF([1]감독시간표!$E$43:$S$44,'[1]감독 순번'!B45)+COUNTIF([1]감독시간표!$Y$43:$AE$44,'[1]감독 순번'!B45)+COUNTIF([1]감독시간표!$X$46,'[1]감독 순번'!B45)+COUNTIF([1]감독시간표!$AG$46,'[1]감독 순번'!B45)</f>
        <v>#VALUE!</v>
      </c>
      <c r="G45" s="178" t="e">
        <f t="shared" si="0"/>
        <v>#VALUE!</v>
      </c>
      <c r="H45" s="179"/>
      <c r="I45" s="177"/>
      <c r="J45" s="177"/>
      <c r="K45" s="180"/>
      <c r="L45" s="181"/>
      <c r="M45" s="182"/>
      <c r="N45" s="182"/>
      <c r="O45" s="182"/>
      <c r="P45" s="185" t="s">
        <v>2301</v>
      </c>
      <c r="Q45" s="51"/>
    </row>
    <row r="46" spans="2:17" ht="19.95" customHeight="1">
      <c r="B46" s="184">
        <v>42</v>
      </c>
      <c r="C46" s="176" t="str">
        <f>[1]감독시간표!V53</f>
        <v>이진영</v>
      </c>
      <c r="D46" s="177" t="e">
        <f>COUNTIF([1]감독시간표!$L$10:$S$10,'[1]감독 순번'!B46)+COUNTIF([1]감독시간표!$Y$10:$AE$10,'[1]감독 순번'!B46)+COUNTIF([1]감독시간표!$E$16:$K$16,'[1]감독 순번'!B46)+COUNTIF([1]감독시간표!$T$16:$V$16,'[1]감독 순번'!B46)+COUNTIF([1]감독시간표!$AI$16,'[1]감독 순번'!B46)+COUNTIF([1]감독시간표!$E$19:$S$19,'[1]감독 순번'!B46)+COUNTIF([1]감독시간표!$Y$19:$AE$19,'[1]감독 순번'!B46)+COUNTIF([1]감독시간표!$E$25:$K$25,'[1]감독 순번'!B46)+COUNTIF([1]감독시간표!$T$25:$V$25,'[1]감독 순번'!B46)+COUNTIF([1]감독시간표!$Y$25:$AA$25,'[1]감독 순번'!B46)+COUNTIF([1]감독시간표!$E$28:$S$28,'[1]감독 순번'!B46)+COUNTIF([1]감독시간표!$AA$28:$AC$28,'[1]감독 순번'!B46)+COUNTIF([1]감독시간표!$AF$28:$AI$28,'[1]감독 순번'!B46)+COUNTIF([1]감독시간표!$E$34:$P$34,'[1]감독 순번'!B46)+COUNTIF([1]감독시간표!$AF$34:$AH$34,'[1]감독 순번'!B46)+COUNTIF([1]감독시간표!$E$40:$S$40,'[1]감독 순번'!B46)+COUNTIF([1]감독시간표!$Y$40:$AE$40,'[1]감독 순번'!B46)+COUNTIF([1]감독시간표!$E$46:$Q$46,'[1]감독 순번'!B46)+COUNTIF([1]감독시간표!$Y$46:$AC$46,'[1]감독 순번'!B46)</f>
        <v>#VALUE!</v>
      </c>
      <c r="E46" s="177" t="e">
        <f>COUNTIF([1]감독시간표!$L$11:$S$11,'[1]감독 순번'!B46)+COUNTIF([1]감독시간표!$Y$11:$AE$11,'[1]감독 순번'!B46)+COUNTIF([1]감독시간표!$E$17:$K$17,'[1]감독 순번'!B46)+COUNTIF([1]감독시간표!$T$17:$V$17,'[1]감독 순번'!B46)+COUNTIF([1]감독시간표!$AI$17,'[1]감독 순번'!B46)+COUNTIF([1]감독시간표!$E$20:$S$20,'[1]감독 순번'!B46)+COUNTIF([1]감독시간표!$Y$20:$AE$20,'[1]감독 순번'!B46)+COUNTIF([1]감독시간표!$E$26:$K$26,'[1]감독 순번'!B46)+COUNTIF([1]감독시간표!$T$26:$V$26,'[1]감독 순번'!B46)+COUNTIF([1]감독시간표!$Y$26:$AA$26,'[1]감독 순번'!B46)+COUNTIF([1]감독시간표!$E$29:$S$29,'[1]감독 순번'!B46)+COUNTIF([1]감독시간표!$AA$29:$AC$29,'[1]감독 순번'!B46)+COUNTIF([1]감독시간표!$AF$29:$AI$29,'[1]감독 순번'!B46)+COUNTIF([1]감독시간표!$E$35:$P$35,'[1]감독 순번'!B46)+COUNTIF([1]감독시간표!$AF$35:$AH$35,'[1]감독 순번'!B46)+COUNTIF([1]감독시간표!$E$41:$S$41,'[1]감독 순번'!B46)+COUNTIF([1]감독시간표!$Y$41:$AE$41,'[1]감독 순번'!B46)+COUNTIF([1]감독시간표!$E$47:$Q$47,'[1]감독 순번'!B46)+COUNTIF([1]감독시간표!$Y$47:$AC$47,'[1]감독 순번'!B46)</f>
        <v>#VALUE!</v>
      </c>
      <c r="F46" s="177" t="e">
        <f>COUNTIF([1]감독시간표!$E$10:$K$11,'[1]감독 순번'!B46)+COUNTIF([1]감독시간표!$E$13:$S$14,'[1]감독 순번'!B46)+COUNTIF([1]감독시간표!$Y$13:$AE$14,'[1]감독 순번'!B46)+COUNTIF([1]감독시간표!$L$16:$S$17,'[1]감독 순번'!B46)+COUNTIF([1]감독시간표!$Y$16:$AE$17,'[1]감독 순번'!B46)+COUNTIF([1]감독시간표!$E$22:$S$23,'[1]감독 순번'!B46)+COUNTIF([1]감독시간표!$Y$22:$AE$23,'[1]감독 순번'!B46)+COUNTIF([1]감독시간표!$L$25:$S$26,'[1]감독 순번'!B46)+COUNTIF([1]감독시간표!$AJ$25:$AK$26,'[1]감독 순번'!B46)+COUNTIF([1]감독시간표!$E$31:$S$32,'[1]감독 순번'!B46)+COUNTIF([1]감독시간표!$Y$31:$AE$32,'[1]감독 순번'!B46)+COUNTIF([1]감독시간표!$W$34:$AE$35,'[1]감독 순번'!B46)+COUNTIF([1]감독시간표!$E$37:$S$38,'[1]감독 순번'!B46)+COUNTIF([1]감독시간표!$Y$37:$AE$38,'[1]감독 순번'!B46)+COUNTIF([1]감독시간표!$E$43:$S$44,'[1]감독 순번'!B46)+COUNTIF([1]감독시간표!$Y$43:$AE$44,'[1]감독 순번'!B46)+COUNTIF([1]감독시간표!$X$46,'[1]감독 순번'!B46)+COUNTIF([1]감독시간표!$AG$46,'[1]감독 순번'!B46)</f>
        <v>#VALUE!</v>
      </c>
      <c r="G46" s="178" t="e">
        <f t="shared" si="0"/>
        <v>#VALUE!</v>
      </c>
      <c r="H46" s="179"/>
      <c r="I46" s="177"/>
      <c r="J46" s="177"/>
      <c r="K46" s="180"/>
      <c r="L46" s="181"/>
      <c r="M46" s="182"/>
      <c r="N46" s="182"/>
      <c r="O46" s="182"/>
      <c r="P46" s="185"/>
      <c r="Q46" s="51"/>
    </row>
    <row r="47" spans="2:17" ht="19.95" customHeight="1">
      <c r="B47" s="184">
        <v>43</v>
      </c>
      <c r="C47" s="176" t="str">
        <f>[1]감독시간표!V54</f>
        <v>박홍재</v>
      </c>
      <c r="D47" s="177" t="e">
        <f>COUNTIF([1]감독시간표!$L$10:$S$10,'[1]감독 순번'!B47)+COUNTIF([1]감독시간표!$Y$10:$AE$10,'[1]감독 순번'!B47)+COUNTIF([1]감독시간표!$E$16:$K$16,'[1]감독 순번'!B47)+COUNTIF([1]감독시간표!$T$16:$V$16,'[1]감독 순번'!B47)+COUNTIF([1]감독시간표!$AI$16,'[1]감독 순번'!B47)+COUNTIF([1]감독시간표!$E$19:$S$19,'[1]감독 순번'!B47)+COUNTIF([1]감독시간표!$Y$19:$AE$19,'[1]감독 순번'!B47)+COUNTIF([1]감독시간표!$E$25:$K$25,'[1]감독 순번'!B47)+COUNTIF([1]감독시간표!$T$25:$V$25,'[1]감독 순번'!B47)+COUNTIF([1]감독시간표!$Y$25:$AA$25,'[1]감독 순번'!B47)+COUNTIF([1]감독시간표!$E$28:$S$28,'[1]감독 순번'!B47)+COUNTIF([1]감독시간표!$AA$28:$AC$28,'[1]감독 순번'!B47)+COUNTIF([1]감독시간표!$AF$28:$AI$28,'[1]감독 순번'!B47)+COUNTIF([1]감독시간표!$E$34:$P$34,'[1]감독 순번'!B47)+COUNTIF([1]감독시간표!$AF$34:$AH$34,'[1]감독 순번'!B47)+COUNTIF([1]감독시간표!$E$40:$S$40,'[1]감독 순번'!B47)+COUNTIF([1]감독시간표!$Y$40:$AE$40,'[1]감독 순번'!B47)+COUNTIF([1]감독시간표!$E$46:$Q$46,'[1]감독 순번'!B47)+COUNTIF([1]감독시간표!$Y$46:$AC$46,'[1]감독 순번'!B47)</f>
        <v>#VALUE!</v>
      </c>
      <c r="E47" s="177" t="e">
        <f>COUNTIF([1]감독시간표!$L$11:$S$11,'[1]감독 순번'!B47)+COUNTIF([1]감독시간표!$Y$11:$AE$11,'[1]감독 순번'!B47)+COUNTIF([1]감독시간표!$E$17:$K$17,'[1]감독 순번'!B47)+COUNTIF([1]감독시간표!$T$17:$V$17,'[1]감독 순번'!B47)+COUNTIF([1]감독시간표!$AI$17,'[1]감독 순번'!B47)+COUNTIF([1]감독시간표!$E$20:$S$20,'[1]감독 순번'!B47)+COUNTIF([1]감독시간표!$Y$20:$AE$20,'[1]감독 순번'!B47)+COUNTIF([1]감독시간표!$E$26:$K$26,'[1]감독 순번'!B47)+COUNTIF([1]감독시간표!$T$26:$V$26,'[1]감독 순번'!B47)+COUNTIF([1]감독시간표!$Y$26:$AA$26,'[1]감독 순번'!B47)+COUNTIF([1]감독시간표!$E$29:$S$29,'[1]감독 순번'!B47)+COUNTIF([1]감독시간표!$AA$29:$AC$29,'[1]감독 순번'!B47)+COUNTIF([1]감독시간표!$AF$29:$AI$29,'[1]감독 순번'!B47)+COUNTIF([1]감독시간표!$E$35:$P$35,'[1]감독 순번'!B47)+COUNTIF([1]감독시간표!$AF$35:$AH$35,'[1]감독 순번'!B47)+COUNTIF([1]감독시간표!$E$41:$S$41,'[1]감독 순번'!B47)+COUNTIF([1]감독시간표!$Y$41:$AE$41,'[1]감독 순번'!B47)+COUNTIF([1]감독시간표!$E$47:$Q$47,'[1]감독 순번'!B47)+COUNTIF([1]감독시간표!$Y$47:$AC$47,'[1]감독 순번'!B47)</f>
        <v>#VALUE!</v>
      </c>
      <c r="F47" s="177" t="e">
        <f>COUNTIF([1]감독시간표!$E$10:$K$11,'[1]감독 순번'!B47)+COUNTIF([1]감독시간표!$E$13:$S$14,'[1]감독 순번'!B47)+COUNTIF([1]감독시간표!$Y$13:$AE$14,'[1]감독 순번'!B47)+COUNTIF([1]감독시간표!$L$16:$S$17,'[1]감독 순번'!B47)+COUNTIF([1]감독시간표!$Y$16:$AE$17,'[1]감독 순번'!B47)+COUNTIF([1]감독시간표!$E$22:$S$23,'[1]감독 순번'!B47)+COUNTIF([1]감독시간표!$Y$22:$AE$23,'[1]감독 순번'!B47)+COUNTIF([1]감독시간표!$L$25:$S$26,'[1]감독 순번'!B47)+COUNTIF([1]감독시간표!$AJ$25:$AK$26,'[1]감독 순번'!B47)+COUNTIF([1]감독시간표!$E$31:$S$32,'[1]감독 순번'!B47)+COUNTIF([1]감독시간표!$Y$31:$AE$32,'[1]감독 순번'!B47)+COUNTIF([1]감독시간표!$W$34:$AE$35,'[1]감독 순번'!B47)+COUNTIF([1]감독시간표!$E$37:$S$38,'[1]감독 순번'!B47)+COUNTIF([1]감독시간표!$Y$37:$AE$38,'[1]감독 순번'!B47)+COUNTIF([1]감독시간표!$E$43:$S$44,'[1]감독 순번'!B47)+COUNTIF([1]감독시간표!$Y$43:$AE$44,'[1]감독 순번'!B47)+COUNTIF([1]감독시간표!$X$46,'[1]감독 순번'!B47)+COUNTIF([1]감독시간표!$AG$46,'[1]감독 순번'!B47)</f>
        <v>#VALUE!</v>
      </c>
      <c r="G47" s="178" t="e">
        <f t="shared" si="0"/>
        <v>#VALUE!</v>
      </c>
      <c r="H47" s="179"/>
      <c r="I47" s="177"/>
      <c r="J47" s="177"/>
      <c r="K47" s="180"/>
      <c r="L47" s="181"/>
      <c r="M47" s="182"/>
      <c r="N47" s="182"/>
      <c r="O47" s="182"/>
      <c r="P47" s="185"/>
      <c r="Q47" s="51" t="s">
        <v>2186</v>
      </c>
    </row>
    <row r="48" spans="2:17" ht="19.95" customHeight="1">
      <c r="B48" s="184">
        <v>44</v>
      </c>
      <c r="C48" s="176" t="str">
        <f>[1]감독시간표!V55</f>
        <v>김상준</v>
      </c>
      <c r="D48" s="177" t="e">
        <f>COUNTIF([1]감독시간표!$L$10:$S$10,'[1]감독 순번'!B48)+COUNTIF([1]감독시간표!$Y$10:$AE$10,'[1]감독 순번'!B48)+COUNTIF([1]감독시간표!$E$16:$K$16,'[1]감독 순번'!B48)+COUNTIF([1]감독시간표!$T$16:$V$16,'[1]감독 순번'!B48)+COUNTIF([1]감독시간표!$AI$16,'[1]감독 순번'!B48)+COUNTIF([1]감독시간표!$E$19:$S$19,'[1]감독 순번'!B48)+COUNTIF([1]감독시간표!$Y$19:$AE$19,'[1]감독 순번'!B48)+COUNTIF([1]감독시간표!$E$25:$K$25,'[1]감독 순번'!B48)+COUNTIF([1]감독시간표!$T$25:$V$25,'[1]감독 순번'!B48)+COUNTIF([1]감독시간표!$Y$25:$AA$25,'[1]감독 순번'!B48)+COUNTIF([1]감독시간표!$E$28:$S$28,'[1]감독 순번'!B48)+COUNTIF([1]감독시간표!$AA$28:$AC$28,'[1]감독 순번'!B48)+COUNTIF([1]감독시간표!$AF$28:$AI$28,'[1]감독 순번'!B48)+COUNTIF([1]감독시간표!$E$34:$P$34,'[1]감독 순번'!B48)+COUNTIF([1]감독시간표!$AF$34:$AH$34,'[1]감독 순번'!B48)+COUNTIF([1]감독시간표!$E$40:$S$40,'[1]감독 순번'!B48)+COUNTIF([1]감독시간표!$Y$40:$AE$40,'[1]감독 순번'!B48)+COUNTIF([1]감독시간표!$E$46:$Q$46,'[1]감독 순번'!B48)+COUNTIF([1]감독시간표!$Y$46:$AC$46,'[1]감독 순번'!B48)</f>
        <v>#VALUE!</v>
      </c>
      <c r="E48" s="177" t="e">
        <f>COUNTIF([1]감독시간표!$L$11:$S$11,'[1]감독 순번'!B48)+COUNTIF([1]감독시간표!$Y$11:$AE$11,'[1]감독 순번'!B48)+COUNTIF([1]감독시간표!$E$17:$K$17,'[1]감독 순번'!B48)+COUNTIF([1]감독시간표!$T$17:$V$17,'[1]감독 순번'!B48)+COUNTIF([1]감독시간표!$AI$17,'[1]감독 순번'!B48)+COUNTIF([1]감독시간표!$E$20:$S$20,'[1]감독 순번'!B48)+COUNTIF([1]감독시간표!$Y$20:$AE$20,'[1]감독 순번'!B48)+COUNTIF([1]감독시간표!$E$26:$K$26,'[1]감독 순번'!B48)+COUNTIF([1]감독시간표!$T$26:$V$26,'[1]감독 순번'!B48)+COUNTIF([1]감독시간표!$Y$26:$AA$26,'[1]감독 순번'!B48)+COUNTIF([1]감독시간표!$E$29:$S$29,'[1]감독 순번'!B48)+COUNTIF([1]감독시간표!$AA$29:$AC$29,'[1]감독 순번'!B48)+COUNTIF([1]감독시간표!$AF$29:$AI$29,'[1]감독 순번'!B48)+COUNTIF([1]감독시간표!$E$35:$P$35,'[1]감독 순번'!B48)+COUNTIF([1]감독시간표!$AF$35:$AH$35,'[1]감독 순번'!B48)+COUNTIF([1]감독시간표!$E$41:$S$41,'[1]감독 순번'!B48)+COUNTIF([1]감독시간표!$Y$41:$AE$41,'[1]감독 순번'!B48)+COUNTIF([1]감독시간표!$E$47:$Q$47,'[1]감독 순번'!B48)+COUNTIF([1]감독시간표!$Y$47:$AC$47,'[1]감독 순번'!B48)</f>
        <v>#VALUE!</v>
      </c>
      <c r="F48" s="177" t="e">
        <f>COUNTIF([1]감독시간표!$E$10:$K$11,'[1]감독 순번'!B48)+COUNTIF([1]감독시간표!$E$13:$S$14,'[1]감독 순번'!B48)+COUNTIF([1]감독시간표!$Y$13:$AE$14,'[1]감독 순번'!B48)+COUNTIF([1]감독시간표!$L$16:$S$17,'[1]감독 순번'!B48)+COUNTIF([1]감독시간표!$Y$16:$AE$17,'[1]감독 순번'!B48)+COUNTIF([1]감독시간표!$E$22:$S$23,'[1]감독 순번'!B48)+COUNTIF([1]감독시간표!$Y$22:$AE$23,'[1]감독 순번'!B48)+COUNTIF([1]감독시간표!$L$25:$S$26,'[1]감독 순번'!B48)+COUNTIF([1]감독시간표!$AJ$25:$AK$26,'[1]감독 순번'!B48)+COUNTIF([1]감독시간표!$E$31:$S$32,'[1]감독 순번'!B48)+COUNTIF([1]감독시간표!$Y$31:$AE$32,'[1]감독 순번'!B48)+COUNTIF([1]감독시간표!$W$34:$AE$35,'[1]감독 순번'!B48)+COUNTIF([1]감독시간표!$E$37:$S$38,'[1]감독 순번'!B48)+COUNTIF([1]감독시간표!$Y$37:$AE$38,'[1]감독 순번'!B48)+COUNTIF([1]감독시간표!$E$43:$S$44,'[1]감독 순번'!B48)+COUNTIF([1]감독시간표!$Y$43:$AE$44,'[1]감독 순번'!B48)+COUNTIF([1]감독시간표!$X$46,'[1]감독 순번'!B48)+COUNTIF([1]감독시간표!$AG$46,'[1]감독 순번'!B48)</f>
        <v>#VALUE!</v>
      </c>
      <c r="G48" s="178" t="e">
        <f t="shared" si="0"/>
        <v>#VALUE!</v>
      </c>
      <c r="H48" s="179"/>
      <c r="I48" s="177"/>
      <c r="J48" s="177"/>
      <c r="K48" s="180"/>
      <c r="L48" s="181"/>
      <c r="M48" s="182"/>
      <c r="N48" s="182"/>
      <c r="O48" s="182"/>
      <c r="P48" s="185"/>
      <c r="Q48" s="51"/>
    </row>
    <row r="49" spans="2:17" ht="19.95" customHeight="1">
      <c r="B49" s="184">
        <v>45</v>
      </c>
      <c r="C49" s="176" t="str">
        <f>[1]감독시간표!V56</f>
        <v>은연주</v>
      </c>
      <c r="D49" s="177" t="e">
        <f>COUNTIF([1]감독시간표!$L$10:$S$10,'[1]감독 순번'!B49)+COUNTIF([1]감독시간표!$Y$10:$AE$10,'[1]감독 순번'!B49)+COUNTIF([1]감독시간표!$E$16:$K$16,'[1]감독 순번'!B49)+COUNTIF([1]감독시간표!$T$16:$V$16,'[1]감독 순번'!B49)+COUNTIF([1]감독시간표!$AI$16,'[1]감독 순번'!B49)+COUNTIF([1]감독시간표!$E$19:$S$19,'[1]감독 순번'!B49)+COUNTIF([1]감독시간표!$Y$19:$AE$19,'[1]감독 순번'!B49)+COUNTIF([1]감독시간표!$E$25:$K$25,'[1]감독 순번'!B49)+COUNTIF([1]감독시간표!$T$25:$V$25,'[1]감독 순번'!B49)+COUNTIF([1]감독시간표!$Y$25:$AA$25,'[1]감독 순번'!B49)+COUNTIF([1]감독시간표!$E$28:$S$28,'[1]감독 순번'!B49)+COUNTIF([1]감독시간표!$AA$28:$AC$28,'[1]감독 순번'!B49)+COUNTIF([1]감독시간표!$AF$28:$AI$28,'[1]감독 순번'!B49)+COUNTIF([1]감독시간표!$E$34:$P$34,'[1]감독 순번'!B49)+COUNTIF([1]감독시간표!$AF$34:$AH$34,'[1]감독 순번'!B49)+COUNTIF([1]감독시간표!$E$40:$S$40,'[1]감독 순번'!B49)+COUNTIF([1]감독시간표!$Y$40:$AE$40,'[1]감독 순번'!B49)+COUNTIF([1]감독시간표!$E$46:$Q$46,'[1]감독 순번'!B49)+COUNTIF([1]감독시간표!$Y$46:$AC$46,'[1]감독 순번'!B49)</f>
        <v>#VALUE!</v>
      </c>
      <c r="E49" s="177" t="e">
        <f>COUNTIF([1]감독시간표!$L$11:$S$11,'[1]감독 순번'!B49)+COUNTIF([1]감독시간표!$Y$11:$AE$11,'[1]감독 순번'!B49)+COUNTIF([1]감독시간표!$E$17:$K$17,'[1]감독 순번'!B49)+COUNTIF([1]감독시간표!$T$17:$V$17,'[1]감독 순번'!B49)+COUNTIF([1]감독시간표!$AI$17,'[1]감독 순번'!B49)+COUNTIF([1]감독시간표!$E$20:$S$20,'[1]감독 순번'!B49)+COUNTIF([1]감독시간표!$Y$20:$AE$20,'[1]감독 순번'!B49)+COUNTIF([1]감독시간표!$E$26:$K$26,'[1]감독 순번'!B49)+COUNTIF([1]감독시간표!$T$26:$V$26,'[1]감독 순번'!B49)+COUNTIF([1]감독시간표!$Y$26:$AA$26,'[1]감독 순번'!B49)+COUNTIF([1]감독시간표!$E$29:$S$29,'[1]감독 순번'!B49)+COUNTIF([1]감독시간표!$AA$29:$AC$29,'[1]감독 순번'!B49)+COUNTIF([1]감독시간표!$AF$29:$AI$29,'[1]감독 순번'!B49)+COUNTIF([1]감독시간표!$E$35:$P$35,'[1]감독 순번'!B49)+COUNTIF([1]감독시간표!$AF$35:$AH$35,'[1]감독 순번'!B49)+COUNTIF([1]감독시간표!$E$41:$S$41,'[1]감독 순번'!B49)+COUNTIF([1]감독시간표!$Y$41:$AE$41,'[1]감독 순번'!B49)+COUNTIF([1]감독시간표!$E$47:$Q$47,'[1]감독 순번'!B49)+COUNTIF([1]감독시간표!$Y$47:$AC$47,'[1]감독 순번'!B49)</f>
        <v>#VALUE!</v>
      </c>
      <c r="F49" s="177" t="e">
        <f>COUNTIF([1]감독시간표!$E$10:$K$11,'[1]감독 순번'!B49)+COUNTIF([1]감독시간표!$E$13:$S$14,'[1]감독 순번'!B49)+COUNTIF([1]감독시간표!$Y$13:$AE$14,'[1]감독 순번'!B49)+COUNTIF([1]감독시간표!$L$16:$S$17,'[1]감독 순번'!B49)+COUNTIF([1]감독시간표!$Y$16:$AE$17,'[1]감독 순번'!B49)+COUNTIF([1]감독시간표!$E$22:$S$23,'[1]감독 순번'!B49)+COUNTIF([1]감독시간표!$Y$22:$AE$23,'[1]감독 순번'!B49)+COUNTIF([1]감독시간표!$L$25:$S$26,'[1]감독 순번'!B49)+COUNTIF([1]감독시간표!$AJ$25:$AK$26,'[1]감독 순번'!B49)+COUNTIF([1]감독시간표!$E$31:$S$32,'[1]감독 순번'!B49)+COUNTIF([1]감독시간표!$Y$31:$AE$32,'[1]감독 순번'!B49)+COUNTIF([1]감독시간표!$W$34:$AE$35,'[1]감독 순번'!B49)+COUNTIF([1]감독시간표!$E$37:$S$38,'[1]감독 순번'!B49)+COUNTIF([1]감독시간표!$Y$37:$AE$38,'[1]감독 순번'!B49)+COUNTIF([1]감독시간표!$E$43:$S$44,'[1]감독 순번'!B49)+COUNTIF([1]감독시간표!$Y$43:$AE$44,'[1]감독 순번'!B49)+COUNTIF([1]감독시간표!$X$46,'[1]감독 순번'!B49)+COUNTIF([1]감독시간표!$AG$46,'[1]감독 순번'!B49)</f>
        <v>#VALUE!</v>
      </c>
      <c r="G49" s="178" t="e">
        <f t="shared" si="0"/>
        <v>#VALUE!</v>
      </c>
      <c r="H49" s="179"/>
      <c r="I49" s="177"/>
      <c r="J49" s="177"/>
      <c r="K49" s="180"/>
      <c r="L49" s="181"/>
      <c r="M49" s="182"/>
      <c r="N49" s="182"/>
      <c r="O49" s="182"/>
      <c r="P49" s="185"/>
      <c r="Q49" s="51" t="s">
        <v>2186</v>
      </c>
    </row>
    <row r="50" spans="2:17" ht="19.95" customHeight="1">
      <c r="B50" s="184">
        <v>46</v>
      </c>
      <c r="C50" s="176" t="str">
        <f>[1]감독시간표!V57</f>
        <v>박유성</v>
      </c>
      <c r="D50" s="177" t="e">
        <f>COUNTIF([1]감독시간표!$L$10:$S$10,'[1]감독 순번'!B50)+COUNTIF([1]감독시간표!$Y$10:$AE$10,'[1]감독 순번'!B50)+COUNTIF([1]감독시간표!$E$16:$K$16,'[1]감독 순번'!B50)+COUNTIF([1]감독시간표!$T$16:$V$16,'[1]감독 순번'!B50)+COUNTIF([1]감독시간표!$AI$16,'[1]감독 순번'!B50)+COUNTIF([1]감독시간표!$E$19:$S$19,'[1]감독 순번'!B50)+COUNTIF([1]감독시간표!$Y$19:$AE$19,'[1]감독 순번'!B50)+COUNTIF([1]감독시간표!$E$25:$K$25,'[1]감독 순번'!B50)+COUNTIF([1]감독시간표!$T$25:$V$25,'[1]감독 순번'!B50)+COUNTIF([1]감독시간표!$Y$25:$AA$25,'[1]감독 순번'!B50)+COUNTIF([1]감독시간표!$E$28:$S$28,'[1]감독 순번'!B50)+COUNTIF([1]감독시간표!$AA$28:$AC$28,'[1]감독 순번'!B50)+COUNTIF([1]감독시간표!$AF$28:$AI$28,'[1]감독 순번'!B50)+COUNTIF([1]감독시간표!$E$34:$P$34,'[1]감독 순번'!B50)+COUNTIF([1]감독시간표!$AF$34:$AH$34,'[1]감독 순번'!B50)+COUNTIF([1]감독시간표!$E$40:$S$40,'[1]감독 순번'!B50)+COUNTIF([1]감독시간표!$Y$40:$AE$40,'[1]감독 순번'!B50)+COUNTIF([1]감독시간표!$E$46:$Q$46,'[1]감독 순번'!B50)+COUNTIF([1]감독시간표!$Y$46:$AC$46,'[1]감독 순번'!B50)</f>
        <v>#VALUE!</v>
      </c>
      <c r="E50" s="177" t="e">
        <f>COUNTIF([1]감독시간표!$L$11:$S$11,'[1]감독 순번'!B50)+COUNTIF([1]감독시간표!$Y$11:$AE$11,'[1]감독 순번'!B50)+COUNTIF([1]감독시간표!$E$17:$K$17,'[1]감독 순번'!B50)+COUNTIF([1]감독시간표!$T$17:$V$17,'[1]감독 순번'!B50)+COUNTIF([1]감독시간표!$AI$17,'[1]감독 순번'!B50)+COUNTIF([1]감독시간표!$E$20:$S$20,'[1]감독 순번'!B50)+COUNTIF([1]감독시간표!$Y$20:$AE$20,'[1]감독 순번'!B50)+COUNTIF([1]감독시간표!$E$26:$K$26,'[1]감독 순번'!B50)+COUNTIF([1]감독시간표!$T$26:$V$26,'[1]감독 순번'!B50)+COUNTIF([1]감독시간표!$Y$26:$AA$26,'[1]감독 순번'!B50)+COUNTIF([1]감독시간표!$E$29:$S$29,'[1]감독 순번'!B50)+COUNTIF([1]감독시간표!$AA$29:$AC$29,'[1]감독 순번'!B50)+COUNTIF([1]감독시간표!$AF$29:$AI$29,'[1]감독 순번'!B50)+COUNTIF([1]감독시간표!$E$35:$P$35,'[1]감독 순번'!B50)+COUNTIF([1]감독시간표!$AF$35:$AH$35,'[1]감독 순번'!B50)+COUNTIF([1]감독시간표!$E$41:$S$41,'[1]감독 순번'!B50)+COUNTIF([1]감독시간표!$Y$41:$AE$41,'[1]감독 순번'!B50)+COUNTIF([1]감독시간표!$E$47:$Q$47,'[1]감독 순번'!B50)+COUNTIF([1]감독시간표!$Y$47:$AC$47,'[1]감독 순번'!B50)</f>
        <v>#VALUE!</v>
      </c>
      <c r="F50" s="177" t="e">
        <f>COUNTIF([1]감독시간표!$E$10:$K$11,'[1]감독 순번'!B50)+COUNTIF([1]감독시간표!$E$13:$S$14,'[1]감독 순번'!B50)+COUNTIF([1]감독시간표!$Y$13:$AE$14,'[1]감독 순번'!B50)+COUNTIF([1]감독시간표!$L$16:$S$17,'[1]감독 순번'!B50)+COUNTIF([1]감독시간표!$Y$16:$AE$17,'[1]감독 순번'!B50)+COUNTIF([1]감독시간표!$E$22:$S$23,'[1]감독 순번'!B50)+COUNTIF([1]감독시간표!$Y$22:$AE$23,'[1]감독 순번'!B50)+COUNTIF([1]감독시간표!$L$25:$S$26,'[1]감독 순번'!B50)+COUNTIF([1]감독시간표!$AJ$25:$AK$26,'[1]감독 순번'!B50)+COUNTIF([1]감독시간표!$E$31:$S$32,'[1]감독 순번'!B50)+COUNTIF([1]감독시간표!$Y$31:$AE$32,'[1]감독 순번'!B50)+COUNTIF([1]감독시간표!$W$34:$AE$35,'[1]감독 순번'!B50)+COUNTIF([1]감독시간표!$E$37:$S$38,'[1]감독 순번'!B50)+COUNTIF([1]감독시간표!$Y$37:$AE$38,'[1]감독 순번'!B50)+COUNTIF([1]감독시간표!$E$43:$S$44,'[1]감독 순번'!B50)+COUNTIF([1]감독시간표!$Y$43:$AE$44,'[1]감독 순번'!B50)+COUNTIF([1]감독시간표!$X$46,'[1]감독 순번'!B50)+COUNTIF([1]감독시간표!$AG$46,'[1]감독 순번'!B50)</f>
        <v>#VALUE!</v>
      </c>
      <c r="G50" s="178" t="e">
        <f t="shared" si="0"/>
        <v>#VALUE!</v>
      </c>
      <c r="H50" s="179"/>
      <c r="I50" s="177"/>
      <c r="J50" s="177"/>
      <c r="K50" s="180"/>
      <c r="L50" s="181"/>
      <c r="M50" s="182"/>
      <c r="N50" s="182"/>
      <c r="O50" s="182"/>
      <c r="P50" s="185"/>
      <c r="Q50" s="51"/>
    </row>
    <row r="51" spans="2:17" ht="19.95" customHeight="1">
      <c r="B51" s="184">
        <v>47</v>
      </c>
      <c r="C51" s="176" t="str">
        <f>[1]감독시간표!V58</f>
        <v>홍지훈</v>
      </c>
      <c r="D51" s="177" t="e">
        <f>COUNTIF([1]감독시간표!$L$10:$S$10,'[1]감독 순번'!B51)+COUNTIF([1]감독시간표!$Y$10:$AE$10,'[1]감독 순번'!B51)+COUNTIF([1]감독시간표!$E$16:$K$16,'[1]감독 순번'!B51)+COUNTIF([1]감독시간표!$T$16:$V$16,'[1]감독 순번'!B51)+COUNTIF([1]감독시간표!$AI$16,'[1]감독 순번'!B51)+COUNTIF([1]감독시간표!$E$19:$S$19,'[1]감독 순번'!B51)+COUNTIF([1]감독시간표!$Y$19:$AE$19,'[1]감독 순번'!B51)+COUNTIF([1]감독시간표!$E$25:$K$25,'[1]감독 순번'!B51)+COUNTIF([1]감독시간표!$T$25:$V$25,'[1]감독 순번'!B51)+COUNTIF([1]감독시간표!$Y$25:$AA$25,'[1]감독 순번'!B51)+COUNTIF([1]감독시간표!$E$28:$S$28,'[1]감독 순번'!B51)+COUNTIF([1]감독시간표!$AA$28:$AC$28,'[1]감독 순번'!B51)+COUNTIF([1]감독시간표!$AF$28:$AI$28,'[1]감독 순번'!B51)+COUNTIF([1]감독시간표!$E$34:$P$34,'[1]감독 순번'!B51)+COUNTIF([1]감독시간표!$AF$34:$AH$34,'[1]감독 순번'!B51)+COUNTIF([1]감독시간표!$E$40:$S$40,'[1]감독 순번'!B51)+COUNTIF([1]감독시간표!$Y$40:$AE$40,'[1]감독 순번'!B51)+COUNTIF([1]감독시간표!$E$46:$Q$46,'[1]감독 순번'!B51)+COUNTIF([1]감독시간표!$Y$46:$AC$46,'[1]감독 순번'!B51)</f>
        <v>#VALUE!</v>
      </c>
      <c r="E51" s="177" t="e">
        <f>COUNTIF([1]감독시간표!$L$11:$S$11,'[1]감독 순번'!B51)+COUNTIF([1]감독시간표!$Y$11:$AE$11,'[1]감독 순번'!B51)+COUNTIF([1]감독시간표!$E$17:$K$17,'[1]감독 순번'!B51)+COUNTIF([1]감독시간표!$T$17:$V$17,'[1]감독 순번'!B51)+COUNTIF([1]감독시간표!$AI$17,'[1]감독 순번'!B51)+COUNTIF([1]감독시간표!$E$20:$S$20,'[1]감독 순번'!B51)+COUNTIF([1]감독시간표!$Y$20:$AE$20,'[1]감독 순번'!B51)+COUNTIF([1]감독시간표!$E$26:$K$26,'[1]감독 순번'!B51)+COUNTIF([1]감독시간표!$T$26:$V$26,'[1]감독 순번'!B51)+COUNTIF([1]감독시간표!$Y$26:$AA$26,'[1]감독 순번'!B51)+COUNTIF([1]감독시간표!$E$29:$S$29,'[1]감독 순번'!B51)+COUNTIF([1]감독시간표!$AA$29:$AC$29,'[1]감독 순번'!B51)+COUNTIF([1]감독시간표!$AF$29:$AI$29,'[1]감독 순번'!B51)+COUNTIF([1]감독시간표!$E$35:$P$35,'[1]감독 순번'!B51)+COUNTIF([1]감독시간표!$AF$35:$AH$35,'[1]감독 순번'!B51)+COUNTIF([1]감독시간표!$E$41:$S$41,'[1]감독 순번'!B51)+COUNTIF([1]감독시간표!$Y$41:$AE$41,'[1]감독 순번'!B51)+COUNTIF([1]감독시간표!$E$47:$Q$47,'[1]감독 순번'!B51)+COUNTIF([1]감독시간표!$Y$47:$AC$47,'[1]감독 순번'!B51)</f>
        <v>#VALUE!</v>
      </c>
      <c r="F51" s="177" t="e">
        <f>COUNTIF([1]감독시간표!$E$10:$K$11,'[1]감독 순번'!B51)+COUNTIF([1]감독시간표!$E$13:$S$14,'[1]감독 순번'!B51)+COUNTIF([1]감독시간표!$Y$13:$AE$14,'[1]감독 순번'!B51)+COUNTIF([1]감독시간표!$L$16:$S$17,'[1]감독 순번'!B51)+COUNTIF([1]감독시간표!$Y$16:$AE$17,'[1]감독 순번'!B51)+COUNTIF([1]감독시간표!$E$22:$S$23,'[1]감독 순번'!B51)+COUNTIF([1]감독시간표!$Y$22:$AE$23,'[1]감독 순번'!B51)+COUNTIF([1]감독시간표!$L$25:$S$26,'[1]감독 순번'!B51)+COUNTIF([1]감독시간표!$AJ$25:$AK$26,'[1]감독 순번'!B51)+COUNTIF([1]감독시간표!$E$31:$S$32,'[1]감독 순번'!B51)+COUNTIF([1]감독시간표!$Y$31:$AE$32,'[1]감독 순번'!B51)+COUNTIF([1]감독시간표!$W$34:$AE$35,'[1]감독 순번'!B51)+COUNTIF([1]감독시간표!$E$37:$S$38,'[1]감독 순번'!B51)+COUNTIF([1]감독시간표!$Y$37:$AE$38,'[1]감독 순번'!B51)+COUNTIF([1]감독시간표!$E$43:$S$44,'[1]감독 순번'!B51)+COUNTIF([1]감독시간표!$Y$43:$AE$44,'[1]감독 순번'!B51)+COUNTIF([1]감독시간표!$X$46,'[1]감독 순번'!B51)+COUNTIF([1]감독시간표!$AG$46,'[1]감독 순번'!B51)</f>
        <v>#VALUE!</v>
      </c>
      <c r="G51" s="178" t="e">
        <f t="shared" si="0"/>
        <v>#VALUE!</v>
      </c>
      <c r="H51" s="179"/>
      <c r="I51" s="177"/>
      <c r="J51" s="177"/>
      <c r="K51" s="180"/>
      <c r="L51" s="181"/>
      <c r="M51" s="182"/>
      <c r="N51" s="182"/>
      <c r="O51" s="182"/>
      <c r="P51" s="185"/>
      <c r="Q51" s="51" t="s">
        <v>2302</v>
      </c>
    </row>
    <row r="52" spans="2:17" ht="19.95" customHeight="1">
      <c r="B52" s="184">
        <v>48</v>
      </c>
      <c r="C52" s="176" t="str">
        <f>[1]감독시간표!V59</f>
        <v>정형준</v>
      </c>
      <c r="D52" s="177" t="e">
        <f>COUNTIF([1]감독시간표!$L$10:$S$10,'[1]감독 순번'!B52)+COUNTIF([1]감독시간표!$Y$10:$AE$10,'[1]감독 순번'!B52)+COUNTIF([1]감독시간표!$E$16:$K$16,'[1]감독 순번'!B52)+COUNTIF([1]감독시간표!$T$16:$V$16,'[1]감독 순번'!B52)+COUNTIF([1]감독시간표!$AI$16,'[1]감독 순번'!B52)+COUNTIF([1]감독시간표!$E$19:$S$19,'[1]감독 순번'!B52)+COUNTIF([1]감독시간표!$Y$19:$AE$19,'[1]감독 순번'!B52)+COUNTIF([1]감독시간표!$E$25:$K$25,'[1]감독 순번'!B52)+COUNTIF([1]감독시간표!$T$25:$V$25,'[1]감독 순번'!B52)+COUNTIF([1]감독시간표!$Y$25:$AA$25,'[1]감독 순번'!B52)+COUNTIF([1]감독시간표!$E$28:$S$28,'[1]감독 순번'!B52)+COUNTIF([1]감독시간표!$AA$28:$AC$28,'[1]감독 순번'!B52)+COUNTIF([1]감독시간표!$AF$28:$AI$28,'[1]감독 순번'!B52)+COUNTIF([1]감독시간표!$E$34:$P$34,'[1]감독 순번'!B52)+COUNTIF([1]감독시간표!$AF$34:$AH$34,'[1]감독 순번'!B52)+COUNTIF([1]감독시간표!$E$40:$S$40,'[1]감독 순번'!B52)+COUNTIF([1]감독시간표!$Y$40:$AE$40,'[1]감독 순번'!B52)+COUNTIF([1]감독시간표!$E$46:$Q$46,'[1]감독 순번'!B52)+COUNTIF([1]감독시간표!$Y$46:$AC$46,'[1]감독 순번'!B52)</f>
        <v>#VALUE!</v>
      </c>
      <c r="E52" s="177" t="e">
        <f>COUNTIF([1]감독시간표!$L$11:$S$11,'[1]감독 순번'!B52)+COUNTIF([1]감독시간표!$Y$11:$AE$11,'[1]감독 순번'!B52)+COUNTIF([1]감독시간표!$E$17:$K$17,'[1]감독 순번'!B52)+COUNTIF([1]감독시간표!$T$17:$V$17,'[1]감독 순번'!B52)+COUNTIF([1]감독시간표!$AI$17,'[1]감독 순번'!B52)+COUNTIF([1]감독시간표!$E$20:$S$20,'[1]감독 순번'!B52)+COUNTIF([1]감독시간표!$Y$20:$AE$20,'[1]감독 순번'!B52)+COUNTIF([1]감독시간표!$E$26:$K$26,'[1]감독 순번'!B52)+COUNTIF([1]감독시간표!$T$26:$V$26,'[1]감독 순번'!B52)+COUNTIF([1]감독시간표!$Y$26:$AA$26,'[1]감독 순번'!B52)+COUNTIF([1]감독시간표!$E$29:$S$29,'[1]감독 순번'!B52)+COUNTIF([1]감독시간표!$AA$29:$AC$29,'[1]감독 순번'!B52)+COUNTIF([1]감독시간표!$AF$29:$AI$29,'[1]감독 순번'!B52)+COUNTIF([1]감독시간표!$E$35:$P$35,'[1]감독 순번'!B52)+COUNTIF([1]감독시간표!$AF$35:$AH$35,'[1]감독 순번'!B52)+COUNTIF([1]감독시간표!$E$41:$S$41,'[1]감독 순번'!B52)+COUNTIF([1]감독시간표!$Y$41:$AE$41,'[1]감독 순번'!B52)+COUNTIF([1]감독시간표!$E$47:$Q$47,'[1]감독 순번'!B52)+COUNTIF([1]감독시간표!$Y$47:$AC$47,'[1]감독 순번'!B52)</f>
        <v>#VALUE!</v>
      </c>
      <c r="F52" s="177" t="e">
        <f>COUNTIF([1]감독시간표!$E$10:$K$11,'[1]감독 순번'!B52)+COUNTIF([1]감독시간표!$E$13:$S$14,'[1]감독 순번'!B52)+COUNTIF([1]감독시간표!$Y$13:$AE$14,'[1]감독 순번'!B52)+COUNTIF([1]감독시간표!$L$16:$S$17,'[1]감독 순번'!B52)+COUNTIF([1]감독시간표!$Y$16:$AE$17,'[1]감독 순번'!B52)+COUNTIF([1]감독시간표!$E$22:$S$23,'[1]감독 순번'!B52)+COUNTIF([1]감독시간표!$Y$22:$AE$23,'[1]감독 순번'!B52)+COUNTIF([1]감독시간표!$L$25:$S$26,'[1]감독 순번'!B52)+COUNTIF([1]감독시간표!$AJ$25:$AK$26,'[1]감독 순번'!B52)+COUNTIF([1]감독시간표!$E$31:$S$32,'[1]감독 순번'!B52)+COUNTIF([1]감독시간표!$Y$31:$AE$32,'[1]감독 순번'!B52)+COUNTIF([1]감독시간표!$W$34:$AE$35,'[1]감독 순번'!B52)+COUNTIF([1]감독시간표!$E$37:$S$38,'[1]감독 순번'!B52)+COUNTIF([1]감독시간표!$Y$37:$AE$38,'[1]감독 순번'!B52)+COUNTIF([1]감독시간표!$E$43:$S$44,'[1]감독 순번'!B52)+COUNTIF([1]감독시간표!$Y$43:$AE$44,'[1]감독 순번'!B52)+COUNTIF([1]감독시간표!$X$46,'[1]감독 순번'!B52)+COUNTIF([1]감독시간표!$AG$46,'[1]감독 순번'!B52)</f>
        <v>#VALUE!</v>
      </c>
      <c r="G52" s="178" t="e">
        <f t="shared" si="0"/>
        <v>#VALUE!</v>
      </c>
      <c r="H52" s="179"/>
      <c r="I52" s="177"/>
      <c r="J52" s="177"/>
      <c r="K52" s="180"/>
      <c r="L52" s="181"/>
      <c r="M52" s="182"/>
      <c r="N52" s="182"/>
      <c r="O52" s="182"/>
      <c r="P52" s="185"/>
      <c r="Q52" s="51"/>
    </row>
    <row r="53" spans="2:17" ht="19.95" customHeight="1">
      <c r="B53" s="184">
        <v>49</v>
      </c>
      <c r="C53" s="176" t="str">
        <f>[1]감독시간표!V60</f>
        <v>용세라</v>
      </c>
      <c r="D53" s="177" t="e">
        <f>COUNTIF([1]감독시간표!$L$10:$S$10,'[1]감독 순번'!B53)+COUNTIF([1]감독시간표!$Y$10:$AE$10,'[1]감독 순번'!B53)+COUNTIF([1]감독시간표!$E$16:$K$16,'[1]감독 순번'!B53)+COUNTIF([1]감독시간표!$T$16:$V$16,'[1]감독 순번'!B53)+COUNTIF([1]감독시간표!$AI$16,'[1]감독 순번'!B53)+COUNTIF([1]감독시간표!$E$19:$S$19,'[1]감독 순번'!B53)+COUNTIF([1]감독시간표!$Y$19:$AE$19,'[1]감독 순번'!B53)+COUNTIF([1]감독시간표!$E$25:$K$25,'[1]감독 순번'!B53)+COUNTIF([1]감독시간표!$T$25:$V$25,'[1]감독 순번'!B53)+COUNTIF([1]감독시간표!$Y$25:$AA$25,'[1]감독 순번'!B53)+COUNTIF([1]감독시간표!$E$28:$S$28,'[1]감독 순번'!B53)+COUNTIF([1]감독시간표!$AA$28:$AC$28,'[1]감독 순번'!B53)+COUNTIF([1]감독시간표!$AF$28:$AI$28,'[1]감독 순번'!B53)+COUNTIF([1]감독시간표!$E$34:$P$34,'[1]감독 순번'!B53)+COUNTIF([1]감독시간표!$AF$34:$AH$34,'[1]감독 순번'!B53)+COUNTIF([1]감독시간표!$E$40:$S$40,'[1]감독 순번'!B53)+COUNTIF([1]감독시간표!$Y$40:$AE$40,'[1]감독 순번'!B53)+COUNTIF([1]감독시간표!$E$46:$Q$46,'[1]감독 순번'!B53)+COUNTIF([1]감독시간표!$Y$46:$AC$46,'[1]감독 순번'!B53)</f>
        <v>#VALUE!</v>
      </c>
      <c r="E53" s="177" t="e">
        <f>COUNTIF([1]감독시간표!$L$11:$S$11,'[1]감독 순번'!B53)+COUNTIF([1]감독시간표!$Y$11:$AE$11,'[1]감독 순번'!B53)+COUNTIF([1]감독시간표!$E$17:$K$17,'[1]감독 순번'!B53)+COUNTIF([1]감독시간표!$T$17:$V$17,'[1]감독 순번'!B53)+COUNTIF([1]감독시간표!$AI$17,'[1]감독 순번'!B53)+COUNTIF([1]감독시간표!$E$20:$S$20,'[1]감독 순번'!B53)+COUNTIF([1]감독시간표!$Y$20:$AE$20,'[1]감독 순번'!B53)+COUNTIF([1]감독시간표!$E$26:$K$26,'[1]감독 순번'!B53)+COUNTIF([1]감독시간표!$T$26:$V$26,'[1]감독 순번'!B53)+COUNTIF([1]감독시간표!$Y$26:$AA$26,'[1]감독 순번'!B53)+COUNTIF([1]감독시간표!$E$29:$S$29,'[1]감독 순번'!B53)+COUNTIF([1]감독시간표!$AA$29:$AC$29,'[1]감독 순번'!B53)+COUNTIF([1]감독시간표!$AF$29:$AI$29,'[1]감독 순번'!B53)+COUNTIF([1]감독시간표!$E$35:$P$35,'[1]감독 순번'!B53)+COUNTIF([1]감독시간표!$AF$35:$AH$35,'[1]감독 순번'!B53)+COUNTIF([1]감독시간표!$E$41:$S$41,'[1]감독 순번'!B53)+COUNTIF([1]감독시간표!$Y$41:$AE$41,'[1]감독 순번'!B53)+COUNTIF([1]감독시간표!$E$47:$Q$47,'[1]감독 순번'!B53)+COUNTIF([1]감독시간표!$Y$47:$AC$47,'[1]감독 순번'!B53)</f>
        <v>#VALUE!</v>
      </c>
      <c r="F53" s="177" t="e">
        <f>COUNTIF([1]감독시간표!$E$10:$K$11,'[1]감독 순번'!B53)+COUNTIF([1]감독시간표!$E$13:$S$14,'[1]감독 순번'!B53)+COUNTIF([1]감독시간표!$Y$13:$AE$14,'[1]감독 순번'!B53)+COUNTIF([1]감독시간표!$L$16:$S$17,'[1]감독 순번'!B53)+COUNTIF([1]감독시간표!$Y$16:$AE$17,'[1]감독 순번'!B53)+COUNTIF([1]감독시간표!$E$22:$S$23,'[1]감독 순번'!B53)+COUNTIF([1]감독시간표!$Y$22:$AE$23,'[1]감독 순번'!B53)+COUNTIF([1]감독시간표!$L$25:$S$26,'[1]감독 순번'!B53)+COUNTIF([1]감독시간표!$AJ$25:$AK$26,'[1]감독 순번'!B53)+COUNTIF([1]감독시간표!$E$31:$S$32,'[1]감독 순번'!B53)+COUNTIF([1]감독시간표!$Y$31:$AE$32,'[1]감독 순번'!B53)+COUNTIF([1]감독시간표!$W$34:$AE$35,'[1]감독 순번'!B53)+COUNTIF([1]감독시간표!$E$37:$S$38,'[1]감독 순번'!B53)+COUNTIF([1]감독시간표!$Y$37:$AE$38,'[1]감독 순번'!B53)+COUNTIF([1]감독시간표!$E$43:$S$44,'[1]감독 순번'!B53)+COUNTIF([1]감독시간표!$Y$43:$AE$44,'[1]감독 순번'!B53)+COUNTIF([1]감독시간표!$X$46,'[1]감독 순번'!B53)+COUNTIF([1]감독시간표!$AG$46,'[1]감독 순번'!B53)</f>
        <v>#VALUE!</v>
      </c>
      <c r="G53" s="178" t="e">
        <f t="shared" si="0"/>
        <v>#VALUE!</v>
      </c>
      <c r="H53" s="179"/>
      <c r="I53" s="177"/>
      <c r="J53" s="177"/>
      <c r="K53" s="180"/>
      <c r="L53" s="181"/>
      <c r="M53" s="182"/>
      <c r="N53" s="182"/>
      <c r="O53" s="182"/>
      <c r="P53" s="189" t="s">
        <v>2303</v>
      </c>
      <c r="Q53" s="51"/>
    </row>
    <row r="54" spans="2:17" ht="19.95" customHeight="1">
      <c r="B54" s="184">
        <v>50</v>
      </c>
      <c r="C54" s="176" t="str">
        <f>[1]감독시간표!V61</f>
        <v>양차영</v>
      </c>
      <c r="D54" s="177" t="e">
        <f>COUNTIF([1]감독시간표!$L$10:$S$10,'[1]감독 순번'!B54)+COUNTIF([1]감독시간표!$Y$10:$AE$10,'[1]감독 순번'!B54)+COUNTIF([1]감독시간표!$E$16:$K$16,'[1]감독 순번'!B54)+COUNTIF([1]감독시간표!$T$16:$V$16,'[1]감독 순번'!B54)+COUNTIF([1]감독시간표!$AI$16,'[1]감독 순번'!B54)+COUNTIF([1]감독시간표!$E$19:$S$19,'[1]감독 순번'!B54)+COUNTIF([1]감독시간표!$Y$19:$AE$19,'[1]감독 순번'!B54)+COUNTIF([1]감독시간표!$E$25:$K$25,'[1]감독 순번'!B54)+COUNTIF([1]감독시간표!$T$25:$V$25,'[1]감독 순번'!B54)+COUNTIF([1]감독시간표!$Y$25:$AA$25,'[1]감독 순번'!B54)+COUNTIF([1]감독시간표!$E$28:$S$28,'[1]감독 순번'!B54)+COUNTIF([1]감독시간표!$AA$28:$AC$28,'[1]감독 순번'!B54)+COUNTIF([1]감독시간표!$AF$28:$AI$28,'[1]감독 순번'!B54)+COUNTIF([1]감독시간표!$E$34:$P$34,'[1]감독 순번'!B54)+COUNTIF([1]감독시간표!$AF$34:$AH$34,'[1]감독 순번'!B54)+COUNTIF([1]감독시간표!$E$40:$S$40,'[1]감독 순번'!B54)+COUNTIF([1]감독시간표!$Y$40:$AE$40,'[1]감독 순번'!B54)+COUNTIF([1]감독시간표!$E$46:$Q$46,'[1]감독 순번'!B54)+COUNTIF([1]감독시간표!$Y$46:$AC$46,'[1]감독 순번'!B54)</f>
        <v>#VALUE!</v>
      </c>
      <c r="E54" s="177" t="e">
        <f>COUNTIF([1]감독시간표!$L$11:$S$11,'[1]감독 순번'!B54)+COUNTIF([1]감독시간표!$Y$11:$AE$11,'[1]감독 순번'!B54)+COUNTIF([1]감독시간표!$E$17:$K$17,'[1]감독 순번'!B54)+COUNTIF([1]감독시간표!$T$17:$V$17,'[1]감독 순번'!B54)+COUNTIF([1]감독시간표!$AI$17,'[1]감독 순번'!B54)+COUNTIF([1]감독시간표!$E$20:$S$20,'[1]감독 순번'!B54)+COUNTIF([1]감독시간표!$Y$20:$AE$20,'[1]감독 순번'!B54)+COUNTIF([1]감독시간표!$E$26:$K$26,'[1]감독 순번'!B54)+COUNTIF([1]감독시간표!$T$26:$V$26,'[1]감독 순번'!B54)+COUNTIF([1]감독시간표!$Y$26:$AA$26,'[1]감독 순번'!B54)+COUNTIF([1]감독시간표!$E$29:$S$29,'[1]감독 순번'!B54)+COUNTIF([1]감독시간표!$AA$29:$AC$29,'[1]감독 순번'!B54)+COUNTIF([1]감독시간표!$AF$29:$AI$29,'[1]감독 순번'!B54)+COUNTIF([1]감독시간표!$E$35:$P$35,'[1]감독 순번'!B54)+COUNTIF([1]감독시간표!$AF$35:$AH$35,'[1]감독 순번'!B54)+COUNTIF([1]감독시간표!$E$41:$S$41,'[1]감독 순번'!B54)+COUNTIF([1]감독시간표!$Y$41:$AE$41,'[1]감독 순번'!B54)+COUNTIF([1]감독시간표!$E$47:$Q$47,'[1]감독 순번'!B54)+COUNTIF([1]감독시간표!$Y$47:$AC$47,'[1]감독 순번'!B54)</f>
        <v>#VALUE!</v>
      </c>
      <c r="F54" s="177" t="e">
        <f>COUNTIF([1]감독시간표!$E$10:$K$11,'[1]감독 순번'!B54)+COUNTIF([1]감독시간표!$E$13:$S$14,'[1]감독 순번'!B54)+COUNTIF([1]감독시간표!$Y$13:$AE$14,'[1]감독 순번'!B54)+COUNTIF([1]감독시간표!$L$16:$S$17,'[1]감독 순번'!B54)+COUNTIF([1]감독시간표!$Y$16:$AE$17,'[1]감독 순번'!B54)+COUNTIF([1]감독시간표!$E$22:$S$23,'[1]감독 순번'!B54)+COUNTIF([1]감독시간표!$Y$22:$AE$23,'[1]감독 순번'!B54)+COUNTIF([1]감독시간표!$L$25:$S$26,'[1]감독 순번'!B54)+COUNTIF([1]감독시간표!$AJ$25:$AK$26,'[1]감독 순번'!B54)+COUNTIF([1]감독시간표!$E$31:$S$32,'[1]감독 순번'!B54)+COUNTIF([1]감독시간표!$Y$31:$AE$32,'[1]감독 순번'!B54)+COUNTIF([1]감독시간표!$W$34:$AE$35,'[1]감독 순번'!B54)+COUNTIF([1]감독시간표!$E$37:$S$38,'[1]감독 순번'!B54)+COUNTIF([1]감독시간표!$Y$37:$AE$38,'[1]감독 순번'!B54)+COUNTIF([1]감독시간표!$E$43:$S$44,'[1]감독 순번'!B54)+COUNTIF([1]감독시간표!$Y$43:$AE$44,'[1]감독 순번'!B54)+COUNTIF([1]감독시간표!$X$46,'[1]감독 순번'!B54)+COUNTIF([1]감독시간표!$AG$46,'[1]감독 순번'!B54)</f>
        <v>#VALUE!</v>
      </c>
      <c r="G54" s="178" t="e">
        <f t="shared" si="0"/>
        <v>#VALUE!</v>
      </c>
      <c r="H54" s="179"/>
      <c r="I54" s="177"/>
      <c r="J54" s="177"/>
      <c r="K54" s="180"/>
      <c r="L54" s="181"/>
      <c r="M54" s="182"/>
      <c r="N54" s="182"/>
      <c r="O54" s="182"/>
      <c r="P54" s="192"/>
      <c r="Q54" s="51"/>
    </row>
    <row r="55" spans="2:17" ht="19.95" customHeight="1">
      <c r="B55" s="184">
        <v>51</v>
      </c>
      <c r="C55" s="187" t="str">
        <f>[1]감독시간표!AB52</f>
        <v>사라홀먼</v>
      </c>
      <c r="D55" s="177" t="e">
        <f>COUNTIF([1]감독시간표!$L$10:$S$10,'[1]감독 순번'!B55)+COUNTIF([1]감독시간표!$Y$10:$AE$10,'[1]감독 순번'!B55)+COUNTIF([1]감독시간표!$E$16:$K$16,'[1]감독 순번'!B55)+COUNTIF([1]감독시간표!$T$16:$V$16,'[1]감독 순번'!B55)+COUNTIF([1]감독시간표!$AI$16,'[1]감독 순번'!B55)+COUNTIF([1]감독시간표!$E$19:$S$19,'[1]감독 순번'!B55)+COUNTIF([1]감독시간표!$Y$19:$AE$19,'[1]감독 순번'!B55)+COUNTIF([1]감독시간표!$E$25:$K$25,'[1]감독 순번'!B55)+COUNTIF([1]감독시간표!$T$25:$V$25,'[1]감독 순번'!B55)+COUNTIF([1]감독시간표!$Y$25:$AA$25,'[1]감독 순번'!B55)+COUNTIF([1]감독시간표!$E$28:$S$28,'[1]감독 순번'!B55)+COUNTIF([1]감독시간표!$AA$28:$AC$28,'[1]감독 순번'!B55)+COUNTIF([1]감독시간표!$AF$28:$AI$28,'[1]감독 순번'!B55)+COUNTIF([1]감독시간표!$E$34:$P$34,'[1]감독 순번'!B55)+COUNTIF([1]감독시간표!$AF$34:$AH$34,'[1]감독 순번'!B55)+COUNTIF([1]감독시간표!$E$40:$S$40,'[1]감독 순번'!B55)+COUNTIF([1]감독시간표!$Y$40:$AE$40,'[1]감독 순번'!B55)+COUNTIF([1]감독시간표!$E$46:$Q$46,'[1]감독 순번'!B55)+COUNTIF([1]감독시간표!$Y$46:$AC$46,'[1]감독 순번'!B55)</f>
        <v>#VALUE!</v>
      </c>
      <c r="E55" s="177" t="e">
        <f>COUNTIF([1]감독시간표!$L$11:$S$11,'[1]감독 순번'!B55)+COUNTIF([1]감독시간표!$Y$11:$AE$11,'[1]감독 순번'!B55)+COUNTIF([1]감독시간표!$E$17:$K$17,'[1]감독 순번'!B55)+COUNTIF([1]감독시간표!$T$17:$V$17,'[1]감독 순번'!B55)+COUNTIF([1]감독시간표!$AI$17,'[1]감독 순번'!B55)+COUNTIF([1]감독시간표!$E$20:$S$20,'[1]감독 순번'!B55)+COUNTIF([1]감독시간표!$Y$20:$AE$20,'[1]감독 순번'!B55)+COUNTIF([1]감독시간표!$E$26:$K$26,'[1]감독 순번'!B55)+COUNTIF([1]감독시간표!$T$26:$V$26,'[1]감독 순번'!B55)+COUNTIF([1]감독시간표!$Y$26:$AA$26,'[1]감독 순번'!B55)+COUNTIF([1]감독시간표!$E$29:$S$29,'[1]감독 순번'!B55)+COUNTIF([1]감독시간표!$AA$29:$AC$29,'[1]감독 순번'!B55)+COUNTIF([1]감독시간표!$AF$29:$AI$29,'[1]감독 순번'!B55)+COUNTIF([1]감독시간표!$E$35:$P$35,'[1]감독 순번'!B55)+COUNTIF([1]감독시간표!$AF$35:$AH$35,'[1]감독 순번'!B55)+COUNTIF([1]감독시간표!$E$41:$S$41,'[1]감독 순번'!B55)+COUNTIF([1]감독시간표!$Y$41:$AE$41,'[1]감독 순번'!B55)+COUNTIF([1]감독시간표!$E$47:$Q$47,'[1]감독 순번'!B55)+COUNTIF([1]감독시간표!$Y$47:$AC$47,'[1]감독 순번'!B55)</f>
        <v>#VALUE!</v>
      </c>
      <c r="F55" s="177" t="e">
        <f>COUNTIF([1]감독시간표!$E$10:$K$11,'[1]감독 순번'!B55)+COUNTIF([1]감독시간표!$E$13:$S$14,'[1]감독 순번'!B55)+COUNTIF([1]감독시간표!$Y$13:$AE$14,'[1]감독 순번'!B55)+COUNTIF([1]감독시간표!$L$16:$S$17,'[1]감독 순번'!B55)+COUNTIF([1]감독시간표!$Y$16:$AE$17,'[1]감독 순번'!B55)+COUNTIF([1]감독시간표!$E$22:$S$23,'[1]감독 순번'!B55)+COUNTIF([1]감독시간표!$Y$22:$AE$23,'[1]감독 순번'!B55)+COUNTIF([1]감독시간표!$L$25:$S$26,'[1]감독 순번'!B55)+COUNTIF([1]감독시간표!$AJ$25:$AK$26,'[1]감독 순번'!B55)+COUNTIF([1]감독시간표!$E$31:$S$32,'[1]감독 순번'!B55)+COUNTIF([1]감독시간표!$Y$31:$AE$32,'[1]감독 순번'!B55)+COUNTIF([1]감독시간표!$W$34:$AE$35,'[1]감독 순번'!B55)+COUNTIF([1]감독시간표!$E$37:$S$38,'[1]감독 순번'!B55)+COUNTIF([1]감독시간표!$Y$37:$AE$38,'[1]감독 순번'!B55)+COUNTIF([1]감독시간표!$E$43:$S$44,'[1]감독 순번'!B55)+COUNTIF([1]감독시간표!$Y$43:$AE$44,'[1]감독 순번'!B55)+COUNTIF([1]감독시간표!$X$46,'[1]감독 순번'!B55)+COUNTIF([1]감독시간표!$AG$46,'[1]감독 순번'!B55)</f>
        <v>#VALUE!</v>
      </c>
      <c r="G55" s="178" t="e">
        <f t="shared" si="0"/>
        <v>#VALUE!</v>
      </c>
      <c r="H55" s="179"/>
      <c r="I55" s="177"/>
      <c r="J55" s="177"/>
      <c r="K55" s="180"/>
      <c r="L55" s="181"/>
      <c r="M55" s="182"/>
      <c r="N55" s="182"/>
      <c r="O55" s="182"/>
      <c r="P55" s="192"/>
      <c r="Q55" s="51"/>
    </row>
    <row r="56" spans="2:17" ht="19.95" customHeight="1">
      <c r="B56" s="184">
        <v>52</v>
      </c>
      <c r="C56" s="187" t="str">
        <f>[1]감독시간표!AB53</f>
        <v>지엔이춘</v>
      </c>
      <c r="D56" s="177" t="e">
        <f>COUNTIF([1]감독시간표!$L$10:$S$10,'[1]감독 순번'!B56)+COUNTIF([1]감독시간표!$Y$10:$AE$10,'[1]감독 순번'!B56)+COUNTIF([1]감독시간표!$E$16:$K$16,'[1]감독 순번'!B56)+COUNTIF([1]감독시간표!$T$16:$V$16,'[1]감독 순번'!B56)+COUNTIF([1]감독시간표!$AI$16,'[1]감독 순번'!B56)+COUNTIF([1]감독시간표!$E$19:$S$19,'[1]감독 순번'!B56)+COUNTIF([1]감독시간표!$Y$19:$AE$19,'[1]감독 순번'!B56)+COUNTIF([1]감독시간표!$E$25:$K$25,'[1]감독 순번'!B56)+COUNTIF([1]감독시간표!$T$25:$V$25,'[1]감독 순번'!B56)+COUNTIF([1]감독시간표!$Y$25:$AA$25,'[1]감독 순번'!B56)+COUNTIF([1]감독시간표!$E$28:$S$28,'[1]감독 순번'!B56)+COUNTIF([1]감독시간표!$AA$28:$AC$28,'[1]감독 순번'!B56)+COUNTIF([1]감독시간표!$AF$28:$AI$28,'[1]감독 순번'!B56)+COUNTIF([1]감독시간표!$E$34:$P$34,'[1]감독 순번'!B56)+COUNTIF([1]감독시간표!$AF$34:$AH$34,'[1]감독 순번'!B56)+COUNTIF([1]감독시간표!$E$40:$S$40,'[1]감독 순번'!B56)+COUNTIF([1]감독시간표!$Y$40:$AE$40,'[1]감독 순번'!B56)+COUNTIF([1]감독시간표!$E$46:$Q$46,'[1]감독 순번'!B56)+COUNTIF([1]감독시간표!$Y$46:$AC$46,'[1]감독 순번'!B56)</f>
        <v>#VALUE!</v>
      </c>
      <c r="E56" s="177" t="e">
        <f>COUNTIF([1]감독시간표!$L$11:$S$11,'[1]감독 순번'!B56)+COUNTIF([1]감독시간표!$Y$11:$AE$11,'[1]감독 순번'!B56)+COUNTIF([1]감독시간표!$E$17:$K$17,'[1]감독 순번'!B56)+COUNTIF([1]감독시간표!$T$17:$V$17,'[1]감독 순번'!B56)+COUNTIF([1]감독시간표!$AI$17,'[1]감독 순번'!B56)+COUNTIF([1]감독시간표!$E$20:$S$20,'[1]감독 순번'!B56)+COUNTIF([1]감독시간표!$Y$20:$AE$20,'[1]감독 순번'!B56)+COUNTIF([1]감독시간표!$E$26:$K$26,'[1]감독 순번'!B56)+COUNTIF([1]감독시간표!$T$26:$V$26,'[1]감독 순번'!B56)+COUNTIF([1]감독시간표!$Y$26:$AA$26,'[1]감독 순번'!B56)+COUNTIF([1]감독시간표!$E$29:$S$29,'[1]감독 순번'!B56)+COUNTIF([1]감독시간표!$AA$29:$AC$29,'[1]감독 순번'!B56)+COUNTIF([1]감독시간표!$AF$29:$AI$29,'[1]감독 순번'!B56)+COUNTIF([1]감독시간표!$E$35:$P$35,'[1]감독 순번'!B56)+COUNTIF([1]감독시간표!$AF$35:$AH$35,'[1]감독 순번'!B56)+COUNTIF([1]감독시간표!$E$41:$S$41,'[1]감독 순번'!B56)+COUNTIF([1]감독시간표!$Y$41:$AE$41,'[1]감독 순번'!B56)+COUNTIF([1]감독시간표!$E$47:$Q$47,'[1]감독 순번'!B56)+COUNTIF([1]감독시간표!$Y$47:$AC$47,'[1]감독 순번'!B56)</f>
        <v>#VALUE!</v>
      </c>
      <c r="F56" s="177" t="e">
        <f>COUNTIF([1]감독시간표!$E$10:$K$11,'[1]감독 순번'!B56)+COUNTIF([1]감독시간표!$E$13:$S$14,'[1]감독 순번'!B56)+COUNTIF([1]감독시간표!$Y$13:$AE$14,'[1]감독 순번'!B56)+COUNTIF([1]감독시간표!$L$16:$S$17,'[1]감독 순번'!B56)+COUNTIF([1]감독시간표!$Y$16:$AE$17,'[1]감독 순번'!B56)+COUNTIF([1]감독시간표!$E$22:$S$23,'[1]감독 순번'!B56)+COUNTIF([1]감독시간표!$Y$22:$AE$23,'[1]감독 순번'!B56)+COUNTIF([1]감독시간표!$L$25:$S$26,'[1]감독 순번'!B56)+COUNTIF([1]감독시간표!$AJ$25:$AK$26,'[1]감독 순번'!B56)+COUNTIF([1]감독시간표!$E$31:$S$32,'[1]감독 순번'!B56)+COUNTIF([1]감독시간표!$Y$31:$AE$32,'[1]감독 순번'!B56)+COUNTIF([1]감독시간표!$W$34:$AE$35,'[1]감독 순번'!B56)+COUNTIF([1]감독시간표!$E$37:$S$38,'[1]감독 순번'!B56)+COUNTIF([1]감독시간표!$Y$37:$AE$38,'[1]감독 순번'!B56)+COUNTIF([1]감독시간표!$E$43:$S$44,'[1]감독 순번'!B56)+COUNTIF([1]감독시간표!$Y$43:$AE$44,'[1]감독 순번'!B56)+COUNTIF([1]감독시간표!$X$46,'[1]감독 순번'!B56)+COUNTIF([1]감독시간표!$AG$46,'[1]감독 순번'!B56)</f>
        <v>#VALUE!</v>
      </c>
      <c r="G56" s="178" t="e">
        <f t="shared" si="0"/>
        <v>#VALUE!</v>
      </c>
      <c r="H56" s="179"/>
      <c r="I56" s="177"/>
      <c r="J56" s="177"/>
      <c r="K56" s="180"/>
      <c r="L56" s="181"/>
      <c r="M56" s="182"/>
      <c r="N56" s="182"/>
      <c r="O56" s="182"/>
      <c r="P56" s="196"/>
      <c r="Q56" s="51"/>
    </row>
    <row r="57" spans="2:17" ht="19.95" customHeight="1">
      <c r="B57" s="184">
        <v>53</v>
      </c>
      <c r="C57" s="187" t="str">
        <f>[1]감독시간표!AB54</f>
        <v>유청하</v>
      </c>
      <c r="D57" s="177" t="e">
        <f>COUNTIF([1]감독시간표!$L$10:$S$10,'[1]감독 순번'!B57)+COUNTIF([1]감독시간표!$Y$10:$AE$10,'[1]감독 순번'!B57)+COUNTIF([1]감독시간표!$E$16:$K$16,'[1]감독 순번'!B57)+COUNTIF([1]감독시간표!$T$16:$V$16,'[1]감독 순번'!B57)+COUNTIF([1]감독시간표!$AI$16,'[1]감독 순번'!B57)+COUNTIF([1]감독시간표!$E$19:$S$19,'[1]감독 순번'!B57)+COUNTIF([1]감독시간표!$Y$19:$AE$19,'[1]감독 순번'!B57)+COUNTIF([1]감독시간표!$E$25:$K$25,'[1]감독 순번'!B57)+COUNTIF([1]감독시간표!$T$25:$V$25,'[1]감독 순번'!B57)+COUNTIF([1]감독시간표!$Y$25:$AA$25,'[1]감독 순번'!B57)+COUNTIF([1]감독시간표!$E$28:$S$28,'[1]감독 순번'!B57)+COUNTIF([1]감독시간표!$AA$28:$AC$28,'[1]감독 순번'!B57)+COUNTIF([1]감독시간표!$AF$28:$AI$28,'[1]감독 순번'!B57)+COUNTIF([1]감독시간표!$E$34:$P$34,'[1]감독 순번'!B57)+COUNTIF([1]감독시간표!$AF$34:$AH$34,'[1]감독 순번'!B57)+COUNTIF([1]감독시간표!$E$40:$S$40,'[1]감독 순번'!B57)+COUNTIF([1]감독시간표!$Y$40:$AE$40,'[1]감독 순번'!B57)+COUNTIF([1]감독시간표!$E$46:$Q$46,'[1]감독 순번'!B57)+COUNTIF([1]감독시간표!$Y$46:$AC$46,'[1]감독 순번'!B57)</f>
        <v>#VALUE!</v>
      </c>
      <c r="E57" s="177" t="e">
        <f>COUNTIF([1]감독시간표!$L$11:$S$11,'[1]감독 순번'!B57)+COUNTIF([1]감독시간표!$Y$11:$AE$11,'[1]감독 순번'!B57)+COUNTIF([1]감독시간표!$E$17:$K$17,'[1]감독 순번'!B57)+COUNTIF([1]감독시간표!$T$17:$V$17,'[1]감독 순번'!B57)+COUNTIF([1]감독시간표!$AI$17,'[1]감독 순번'!B57)+COUNTIF([1]감독시간표!$E$20:$S$20,'[1]감독 순번'!B57)+COUNTIF([1]감독시간표!$Y$20:$AE$20,'[1]감독 순번'!B57)+COUNTIF([1]감독시간표!$E$26:$K$26,'[1]감독 순번'!B57)+COUNTIF([1]감독시간표!$T$26:$V$26,'[1]감독 순번'!B57)+COUNTIF([1]감독시간표!$Y$26:$AA$26,'[1]감독 순번'!B57)+COUNTIF([1]감독시간표!$E$29:$S$29,'[1]감독 순번'!B57)+COUNTIF([1]감독시간표!$AA$29:$AC$29,'[1]감독 순번'!B57)+COUNTIF([1]감독시간표!$AF$29:$AI$29,'[1]감독 순번'!B57)+COUNTIF([1]감독시간표!$E$35:$P$35,'[1]감독 순번'!B57)+COUNTIF([1]감독시간표!$AF$35:$AH$35,'[1]감독 순번'!B57)+COUNTIF([1]감독시간표!$E$41:$S$41,'[1]감독 순번'!B57)+COUNTIF([1]감독시간표!$Y$41:$AE$41,'[1]감독 순번'!B57)+COUNTIF([1]감독시간표!$E$47:$Q$47,'[1]감독 순번'!B57)+COUNTIF([1]감독시간표!$Y$47:$AC$47,'[1]감독 순번'!B57)</f>
        <v>#VALUE!</v>
      </c>
      <c r="F57" s="177" t="e">
        <f>COUNTIF([1]감독시간표!$E$10:$K$11,'[1]감독 순번'!B57)+COUNTIF([1]감독시간표!$E$13:$S$14,'[1]감독 순번'!B57)+COUNTIF([1]감독시간표!$Y$13:$AE$14,'[1]감독 순번'!B57)+COUNTIF([1]감독시간표!$L$16:$S$17,'[1]감독 순번'!B57)+COUNTIF([1]감독시간표!$Y$16:$AE$17,'[1]감독 순번'!B57)+COUNTIF([1]감독시간표!$E$22:$S$23,'[1]감독 순번'!B57)+COUNTIF([1]감독시간표!$Y$22:$AE$23,'[1]감독 순번'!B57)+COUNTIF([1]감독시간표!$L$25:$S$26,'[1]감독 순번'!B57)+COUNTIF([1]감독시간표!$AJ$25:$AK$26,'[1]감독 순번'!B57)+COUNTIF([1]감독시간표!$E$31:$S$32,'[1]감독 순번'!B57)+COUNTIF([1]감독시간표!$Y$31:$AE$32,'[1]감독 순번'!B57)+COUNTIF([1]감독시간표!$W$34:$AE$35,'[1]감독 순번'!B57)+COUNTIF([1]감독시간표!$E$37:$S$38,'[1]감독 순번'!B57)+COUNTIF([1]감독시간표!$Y$37:$AE$38,'[1]감독 순번'!B57)+COUNTIF([1]감독시간표!$E$43:$S$44,'[1]감독 순번'!B57)+COUNTIF([1]감독시간표!$Y$43:$AE$44,'[1]감독 순번'!B57)+COUNTIF([1]감독시간표!$X$46,'[1]감독 순번'!B57)+COUNTIF([1]감독시간표!$AG$46,'[1]감독 순번'!B57)</f>
        <v>#VALUE!</v>
      </c>
      <c r="G57" s="178" t="e">
        <f t="shared" si="0"/>
        <v>#VALUE!</v>
      </c>
      <c r="H57" s="179"/>
      <c r="I57" s="177"/>
      <c r="J57" s="177"/>
      <c r="K57" s="180"/>
      <c r="L57" s="181"/>
      <c r="M57" s="182"/>
      <c r="N57" s="182"/>
      <c r="O57" s="182"/>
      <c r="P57" s="185"/>
      <c r="Q57" s="51"/>
    </row>
    <row r="58" spans="2:17" ht="19.95" customHeight="1">
      <c r="B58" s="184">
        <v>54</v>
      </c>
      <c r="C58" s="187" t="str">
        <f>[1]감독시간표!AB55</f>
        <v>김여울</v>
      </c>
      <c r="D58" s="177" t="e">
        <f>COUNTIF([1]감독시간표!$L$10:$S$10,'[1]감독 순번'!B58)+COUNTIF([1]감독시간표!$Y$10:$AE$10,'[1]감독 순번'!B58)+COUNTIF([1]감독시간표!$E$16:$K$16,'[1]감독 순번'!B58)+COUNTIF([1]감독시간표!$T$16:$V$16,'[1]감독 순번'!B58)+COUNTIF([1]감독시간표!$AI$16,'[1]감독 순번'!B58)+COUNTIF([1]감독시간표!$E$19:$S$19,'[1]감독 순번'!B58)+COUNTIF([1]감독시간표!$Y$19:$AE$19,'[1]감독 순번'!B58)+COUNTIF([1]감독시간표!$E$25:$K$25,'[1]감독 순번'!B58)+COUNTIF([1]감독시간표!$T$25:$V$25,'[1]감독 순번'!B58)+COUNTIF([1]감독시간표!$Y$25:$AA$25,'[1]감독 순번'!B58)+COUNTIF([1]감독시간표!$E$28:$S$28,'[1]감독 순번'!B58)+COUNTIF([1]감독시간표!$AA$28:$AC$28,'[1]감독 순번'!B58)+COUNTIF([1]감독시간표!$AF$28:$AI$28,'[1]감독 순번'!B58)+COUNTIF([1]감독시간표!$E$34:$P$34,'[1]감독 순번'!B58)+COUNTIF([1]감독시간표!$AF$34:$AH$34,'[1]감독 순번'!B58)+COUNTIF([1]감독시간표!$E$40:$S$40,'[1]감독 순번'!B58)+COUNTIF([1]감독시간표!$Y$40:$AE$40,'[1]감독 순번'!B58)+COUNTIF([1]감독시간표!$E$46:$Q$46,'[1]감독 순번'!B58)+COUNTIF([1]감독시간표!$Y$46:$AC$46,'[1]감독 순번'!B58)</f>
        <v>#VALUE!</v>
      </c>
      <c r="E58" s="177" t="e">
        <f>COUNTIF([1]감독시간표!$L$11:$S$11,'[1]감독 순번'!B58)+COUNTIF([1]감독시간표!$Y$11:$AE$11,'[1]감독 순번'!B58)+COUNTIF([1]감독시간표!$E$17:$K$17,'[1]감독 순번'!B58)+COUNTIF([1]감독시간표!$T$17:$V$17,'[1]감독 순번'!B58)+COUNTIF([1]감독시간표!$AI$17,'[1]감독 순번'!B58)+COUNTIF([1]감독시간표!$E$20:$S$20,'[1]감독 순번'!B58)+COUNTIF([1]감독시간표!$Y$20:$AE$20,'[1]감독 순번'!B58)+COUNTIF([1]감독시간표!$E$26:$K$26,'[1]감독 순번'!B58)+COUNTIF([1]감독시간표!$T$26:$V$26,'[1]감독 순번'!B58)+COUNTIF([1]감독시간표!$Y$26:$AA$26,'[1]감독 순번'!B58)+COUNTIF([1]감독시간표!$E$29:$S$29,'[1]감독 순번'!B58)+COUNTIF([1]감독시간표!$AA$29:$AC$29,'[1]감독 순번'!B58)+COUNTIF([1]감독시간표!$AF$29:$AI$29,'[1]감독 순번'!B58)+COUNTIF([1]감독시간표!$E$35:$P$35,'[1]감독 순번'!B58)+COUNTIF([1]감독시간표!$AF$35:$AH$35,'[1]감독 순번'!B58)+COUNTIF([1]감독시간표!$E$41:$S$41,'[1]감독 순번'!B58)+COUNTIF([1]감독시간표!$Y$41:$AE$41,'[1]감독 순번'!B58)+COUNTIF([1]감독시간표!$E$47:$Q$47,'[1]감독 순번'!B58)+COUNTIF([1]감독시간표!$Y$47:$AC$47,'[1]감독 순번'!B58)</f>
        <v>#VALUE!</v>
      </c>
      <c r="F58" s="177" t="e">
        <f>COUNTIF([1]감독시간표!$E$10:$K$11,'[1]감독 순번'!B58)+COUNTIF([1]감독시간표!$E$13:$S$14,'[1]감독 순번'!B58)+COUNTIF([1]감독시간표!$Y$13:$AE$14,'[1]감독 순번'!B58)+COUNTIF([1]감독시간표!$L$16:$S$17,'[1]감독 순번'!B58)+COUNTIF([1]감독시간표!$Y$16:$AE$17,'[1]감독 순번'!B58)+COUNTIF([1]감독시간표!$E$22:$S$23,'[1]감독 순번'!B58)+COUNTIF([1]감독시간표!$Y$22:$AE$23,'[1]감독 순번'!B58)+COUNTIF([1]감독시간표!$L$25:$S$26,'[1]감독 순번'!B58)+COUNTIF([1]감독시간표!$AJ$25:$AK$26,'[1]감독 순번'!B58)+COUNTIF([1]감독시간표!$E$31:$S$32,'[1]감독 순번'!B58)+COUNTIF([1]감독시간표!$Y$31:$AE$32,'[1]감독 순번'!B58)+COUNTIF([1]감독시간표!$W$34:$AE$35,'[1]감독 순번'!B58)+COUNTIF([1]감독시간표!$E$37:$S$38,'[1]감독 순번'!B58)+COUNTIF([1]감독시간표!$Y$37:$AE$38,'[1]감독 순번'!B58)+COUNTIF([1]감독시간표!$E$43:$S$44,'[1]감독 순번'!B58)+COUNTIF([1]감독시간표!$Y$43:$AE$44,'[1]감독 순번'!B58)+COUNTIF([1]감독시간표!$X$46,'[1]감독 순번'!B58)+COUNTIF([1]감독시간표!$AG$46,'[1]감독 순번'!B58)</f>
        <v>#VALUE!</v>
      </c>
      <c r="G58" s="178" t="e">
        <f t="shared" si="0"/>
        <v>#VALUE!</v>
      </c>
      <c r="H58" s="179"/>
      <c r="I58" s="177"/>
      <c r="J58" s="177"/>
      <c r="K58" s="180"/>
      <c r="L58" s="181"/>
      <c r="M58" s="182"/>
      <c r="N58" s="182"/>
      <c r="O58" s="182"/>
      <c r="P58" s="185"/>
      <c r="Q58" s="51"/>
    </row>
    <row r="59" spans="2:17" ht="24" customHeight="1">
      <c r="D59" s="166" t="e">
        <f t="shared" ref="D59:K59" si="1">SUM(D5:D58)</f>
        <v>#VALUE!</v>
      </c>
      <c r="E59" s="166" t="e">
        <f t="shared" si="1"/>
        <v>#VALUE!</v>
      </c>
      <c r="F59" s="166" t="e">
        <f t="shared" si="1"/>
        <v>#VALUE!</v>
      </c>
      <c r="G59" s="166" t="e">
        <f t="shared" si="1"/>
        <v>#VALUE!</v>
      </c>
      <c r="H59" s="166">
        <f t="shared" si="1"/>
        <v>0</v>
      </c>
      <c r="I59" s="166">
        <f t="shared" si="1"/>
        <v>0</v>
      </c>
      <c r="J59" s="166">
        <f t="shared" si="1"/>
        <v>0</v>
      </c>
      <c r="K59" s="166">
        <f t="shared" si="1"/>
        <v>0</v>
      </c>
    </row>
  </sheetData>
  <mergeCells count="6">
    <mergeCell ref="B2:P2"/>
    <mergeCell ref="B3:C3"/>
    <mergeCell ref="D3:G3"/>
    <mergeCell ref="H3:K3"/>
    <mergeCell ref="L3:O3"/>
    <mergeCell ref="P3:P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 지정된 범위</vt:lpstr>
      </vt:variant>
      <vt:variant>
        <vt:i4>9</vt:i4>
      </vt:variant>
    </vt:vector>
  </HeadingPairs>
  <TitlesOfParts>
    <vt:vector size="27" baseType="lpstr">
      <vt:lpstr>VISICALC</vt:lpstr>
      <vt:lpstr>기본함수</vt:lpstr>
      <vt:lpstr>FILENAME</vt:lpstr>
      <vt:lpstr>날짜</vt:lpstr>
      <vt:lpstr>성적</vt:lpstr>
      <vt:lpstr>IF</vt:lpstr>
      <vt:lpstr>피벗</vt:lpstr>
      <vt:lpstr>회식비</vt:lpstr>
      <vt:lpstr>VLOOKUP</vt:lpstr>
      <vt:lpstr>HLOOKUP</vt:lpstr>
      <vt:lpstr>정보보호</vt:lpstr>
      <vt:lpstr>절대참조</vt:lpstr>
      <vt:lpstr>고급필터</vt:lpstr>
      <vt:lpstr>프로시져</vt:lpstr>
      <vt:lpstr>배열함수와VBA</vt:lpstr>
      <vt:lpstr>조건부서식</vt:lpstr>
      <vt:lpstr>감독시간표</vt:lpstr>
      <vt:lpstr>감독 순번</vt:lpstr>
      <vt:lpstr>고급필터!Criteria</vt:lpstr>
      <vt:lpstr>고급필터!Extract</vt:lpstr>
      <vt:lpstr>가격테이블</vt:lpstr>
      <vt:lpstr>계절변수</vt:lpstr>
      <vt:lpstr>기준테이블</vt:lpstr>
      <vt:lpstr>기준테이블1</vt:lpstr>
      <vt:lpstr>메뉴가격</vt:lpstr>
      <vt:lpstr>카페가격테이블</vt:lpstr>
      <vt:lpstr>팀분류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folha</dc:creator>
  <cp:lastModifiedBy>User</cp:lastModifiedBy>
  <dcterms:created xsi:type="dcterms:W3CDTF">2021-10-27T05:39:46Z</dcterms:created>
  <dcterms:modified xsi:type="dcterms:W3CDTF">2025-09-23T00:03:08Z</dcterms:modified>
</cp:coreProperties>
</file>